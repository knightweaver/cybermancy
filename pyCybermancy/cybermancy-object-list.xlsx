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Documents\Daniel\role-gaming\Cybermancy module development\cybermancy\pyCybermancy\"/>
    </mc:Choice>
  </mc:AlternateContent>
  <xr:revisionPtr revIDLastSave="0" documentId="13_ncr:1_{9CA226C7-0DA7-4AD4-8A03-5AE2EA52530F}" xr6:coauthVersionLast="47" xr6:coauthVersionMax="47" xr10:uidLastSave="{00000000-0000-0000-0000-000000000000}"/>
  <bookViews>
    <workbookView xWindow="57480" yWindow="20565" windowWidth="29040" windowHeight="15720" tabRatio="777" firstSheet="2" activeTab="13" xr2:uid="{15A82952-0862-46EA-9957-B8D36A030377}"/>
  </bookViews>
  <sheets>
    <sheet name="weapons" sheetId="7" r:id="rId1"/>
    <sheet name="Renamed DH armors" sheetId="10" r:id="rId2"/>
    <sheet name="Renamed DH Consumables" sheetId="11" r:id="rId3"/>
    <sheet name="Renamed DH Loot" sheetId="12" r:id="rId4"/>
    <sheet name="Cybernetics" sheetId="19" r:id="rId5"/>
    <sheet name="ICE" sheetId="23" r:id="rId6"/>
    <sheet name="Ammo" sheetId="22" r:id="rId7"/>
    <sheet name="Weapon Mods" sheetId="21" r:id="rId8"/>
    <sheet name="Drone Mods" sheetId="24" r:id="rId9"/>
    <sheet name="Controlled Lists" sheetId="2" r:id="rId10"/>
    <sheet name="Domain cards" sheetId="6" r:id="rId11"/>
    <sheet name="Class and Subclass features" sheetId="15" r:id="rId12"/>
    <sheet name="ICE Features" sheetId="14" r:id="rId13"/>
    <sheet name="Adversaries" sheetId="13" r:id="rId14"/>
    <sheet name="Actions and Effects" sheetId="3" r:id="rId15"/>
    <sheet name="Foundry VTT Effects list" sheetId="20" r:id="rId16"/>
    <sheet name="Weapon Features" sheetId="4" r:id="rId17"/>
    <sheet name="Armor Features" sheetId="9" r:id="rId18"/>
  </sheets>
  <definedNames>
    <definedName name="_xlnm._FilterDatabase" localSheetId="10" hidden="1">'Domain cards'!$A$1:$S$74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 i="13" l="1"/>
  <c r="C6" i="13"/>
  <c r="S5" i="13"/>
  <c r="C5" i="13"/>
  <c r="S4" i="13"/>
  <c r="C4" i="13"/>
  <c r="S3" i="13"/>
  <c r="C3" i="13"/>
  <c r="S2" i="13"/>
  <c r="C2" i="13"/>
  <c r="C2" i="15"/>
  <c r="G2" i="15"/>
  <c r="C3" i="15"/>
  <c r="G3" i="15"/>
  <c r="C4" i="15"/>
  <c r="G4" i="15"/>
  <c r="C5" i="15"/>
  <c r="G5" i="15"/>
  <c r="C6" i="15"/>
  <c r="G6" i="15"/>
  <c r="C7" i="15"/>
  <c r="G7" i="15"/>
  <c r="C8" i="15"/>
  <c r="G8" i="15"/>
  <c r="C9" i="15"/>
  <c r="G9" i="15"/>
  <c r="C10" i="15"/>
  <c r="G10" i="15"/>
  <c r="C11" i="15"/>
  <c r="G11" i="15"/>
  <c r="C12" i="15"/>
  <c r="G12" i="15"/>
  <c r="C13" i="15"/>
  <c r="G13" i="15"/>
  <c r="C14" i="15"/>
  <c r="G14" i="15"/>
  <c r="C15" i="15"/>
  <c r="G15" i="15"/>
  <c r="C16" i="15"/>
  <c r="G16" i="15"/>
  <c r="C17" i="15"/>
  <c r="G17" i="15"/>
  <c r="C18" i="15"/>
  <c r="G18" i="15"/>
  <c r="C19" i="15"/>
  <c r="G19" i="15"/>
  <c r="C20" i="15"/>
  <c r="G20" i="15"/>
  <c r="C21" i="15"/>
  <c r="G21" i="15"/>
  <c r="C22" i="15"/>
  <c r="G22" i="15"/>
  <c r="C23" i="15"/>
  <c r="G23" i="15"/>
  <c r="C24" i="15"/>
  <c r="G24" i="15"/>
  <c r="C25" i="15"/>
  <c r="G25" i="15"/>
  <c r="C26" i="15"/>
  <c r="G26" i="15"/>
  <c r="C27" i="15"/>
  <c r="G27" i="15"/>
  <c r="C28" i="15"/>
  <c r="G28" i="15"/>
  <c r="C29" i="15"/>
  <c r="G29" i="15"/>
  <c r="C30" i="15"/>
  <c r="G30" i="15"/>
  <c r="C31" i="15"/>
  <c r="G31" i="15"/>
  <c r="C32" i="15"/>
  <c r="G32" i="15"/>
  <c r="C33" i="15"/>
  <c r="G33" i="15"/>
  <c r="C34" i="15"/>
  <c r="G34" i="15"/>
  <c r="C35" i="15"/>
  <c r="G35" i="15"/>
  <c r="C36" i="15"/>
  <c r="G36" i="15"/>
  <c r="C37" i="15"/>
  <c r="G37" i="15"/>
  <c r="C38" i="15"/>
  <c r="G38" i="15"/>
  <c r="C39" i="15"/>
  <c r="G39" i="15"/>
  <c r="C40" i="15"/>
  <c r="G40" i="15"/>
  <c r="C41" i="15"/>
  <c r="G41" i="15"/>
  <c r="C42" i="15"/>
  <c r="G42" i="15"/>
  <c r="C43" i="15"/>
  <c r="G43" i="15"/>
  <c r="C44" i="15"/>
  <c r="G44" i="15"/>
  <c r="C45" i="15"/>
  <c r="G45" i="15"/>
  <c r="C46" i="15"/>
  <c r="G46" i="15"/>
  <c r="C47" i="15"/>
  <c r="G47" i="15"/>
  <c r="C48" i="15"/>
  <c r="G48" i="15"/>
  <c r="C49" i="15"/>
  <c r="G49" i="15"/>
  <c r="C50" i="15"/>
  <c r="G50" i="15"/>
  <c r="C51" i="15"/>
  <c r="G51" i="15"/>
  <c r="C71" i="15"/>
  <c r="C63" i="15"/>
  <c r="L71" i="15"/>
  <c r="L70" i="15"/>
  <c r="C70" i="15" s="1"/>
  <c r="L69" i="15"/>
  <c r="C69" i="15" s="1"/>
  <c r="L68" i="15"/>
  <c r="C68" i="15" s="1"/>
  <c r="L67" i="15"/>
  <c r="C67" i="15" s="1"/>
  <c r="L66" i="15"/>
  <c r="C66" i="15" s="1"/>
  <c r="L65" i="15"/>
  <c r="C65" i="15" s="1"/>
  <c r="L64" i="15"/>
  <c r="C64" i="15" s="1"/>
  <c r="L63" i="15"/>
  <c r="L62" i="15"/>
  <c r="C62" i="15" s="1"/>
  <c r="L61" i="15"/>
  <c r="C61" i="15" s="1"/>
  <c r="L60" i="15"/>
  <c r="C60" i="15" s="1"/>
  <c r="L59" i="15"/>
  <c r="C59" i="15" s="1"/>
  <c r="L58" i="15"/>
  <c r="C58" i="15" s="1"/>
  <c r="L57" i="15"/>
  <c r="C57" i="15" s="1"/>
  <c r="L56" i="15"/>
  <c r="C56" i="15" s="1"/>
  <c r="L55" i="15"/>
  <c r="C55" i="15" s="1"/>
  <c r="L54" i="15"/>
  <c r="C54" i="15" s="1"/>
  <c r="L53" i="15"/>
  <c r="C53" i="15" s="1"/>
  <c r="L52" i="15"/>
  <c r="C52" i="15" s="1"/>
  <c r="E14" i="22"/>
  <c r="F14" i="22" s="1"/>
  <c r="F21" i="23"/>
  <c r="F20" i="23"/>
  <c r="F19" i="23"/>
  <c r="F18" i="23"/>
  <c r="F17" i="23"/>
  <c r="F16" i="23"/>
  <c r="F15" i="23"/>
  <c r="F14" i="23"/>
  <c r="F13" i="23"/>
  <c r="F12" i="23"/>
  <c r="F11" i="23"/>
  <c r="F10" i="23"/>
  <c r="F9" i="23"/>
  <c r="F8" i="23"/>
  <c r="F7" i="23"/>
  <c r="F6" i="23"/>
  <c r="F5" i="23"/>
  <c r="F4" i="23"/>
  <c r="F3" i="23"/>
  <c r="F2" i="23"/>
  <c r="E21" i="23"/>
  <c r="E20" i="23"/>
  <c r="E19" i="23"/>
  <c r="E18" i="23"/>
  <c r="E17" i="23"/>
  <c r="E16" i="23"/>
  <c r="E15" i="23"/>
  <c r="E14" i="23"/>
  <c r="E13" i="23"/>
  <c r="E12" i="23"/>
  <c r="E11" i="23"/>
  <c r="E10" i="23"/>
  <c r="E9" i="23"/>
  <c r="E8" i="23"/>
  <c r="E7" i="23"/>
  <c r="E6" i="23"/>
  <c r="E5" i="23"/>
  <c r="E4" i="23"/>
  <c r="E3" i="23"/>
  <c r="E2" i="23"/>
  <c r="E13" i="22"/>
  <c r="F13" i="22" s="1"/>
  <c r="E12" i="22"/>
  <c r="F12" i="22" s="1"/>
  <c r="F21" i="21"/>
  <c r="F20" i="21"/>
  <c r="F19" i="21"/>
  <c r="F18" i="21"/>
  <c r="F17" i="21"/>
  <c r="F16" i="21"/>
  <c r="F15" i="21"/>
  <c r="F14" i="21"/>
  <c r="F13" i="21"/>
  <c r="F12" i="21"/>
  <c r="F11" i="21"/>
  <c r="F10" i="21"/>
  <c r="F9" i="21"/>
  <c r="F8" i="21"/>
  <c r="F7" i="21"/>
  <c r="F6" i="21"/>
  <c r="F5" i="21"/>
  <c r="F4" i="21"/>
  <c r="F3" i="21"/>
  <c r="F2" i="21"/>
  <c r="E11" i="22"/>
  <c r="F11" i="22" s="1"/>
  <c r="E10" i="22"/>
  <c r="F10" i="22" s="1"/>
  <c r="E9" i="22"/>
  <c r="F9" i="22" s="1"/>
  <c r="E8" i="22"/>
  <c r="F8" i="22" s="1"/>
  <c r="E7" i="22"/>
  <c r="F7" i="22" s="1"/>
  <c r="E6" i="22"/>
  <c r="F6" i="22" s="1"/>
  <c r="E5" i="22"/>
  <c r="F5" i="22" s="1"/>
  <c r="E4" i="22"/>
  <c r="F4" i="22" s="1"/>
  <c r="E3" i="22"/>
  <c r="F3" i="22" s="1"/>
  <c r="E2" i="22"/>
  <c r="F2" i="22" s="1"/>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H2" i="19"/>
  <c r="I2" i="6"/>
  <c r="G104" i="19"/>
  <c r="G103" i="19"/>
  <c r="G102" i="19"/>
  <c r="G101" i="19"/>
  <c r="G100" i="19"/>
  <c r="G99" i="19"/>
  <c r="G98" i="19"/>
  <c r="G97" i="19"/>
  <c r="G96" i="19"/>
  <c r="G95" i="19"/>
  <c r="G94" i="19"/>
  <c r="G93" i="19"/>
  <c r="G92" i="19"/>
  <c r="G91" i="19"/>
  <c r="G90" i="19"/>
  <c r="G89" i="19"/>
  <c r="G88" i="19"/>
  <c r="G87" i="19"/>
  <c r="G86" i="19"/>
  <c r="G85" i="19"/>
  <c r="G84" i="19"/>
  <c r="G83" i="19"/>
  <c r="G82" i="19"/>
  <c r="G81" i="19"/>
  <c r="G80" i="19"/>
  <c r="G79" i="19"/>
  <c r="G78" i="19"/>
  <c r="G77" i="19"/>
  <c r="G76" i="19"/>
  <c r="G75" i="19"/>
  <c r="G74" i="19"/>
  <c r="G73" i="19"/>
  <c r="G72" i="19"/>
  <c r="G71" i="19"/>
  <c r="G70"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G2" i="19"/>
  <c r="C76" i="6"/>
  <c r="I76" i="6"/>
  <c r="D76" i="6" s="1"/>
  <c r="L76" i="6"/>
  <c r="C77" i="6"/>
  <c r="I77" i="6"/>
  <c r="D77" i="6" s="1"/>
  <c r="L77" i="6"/>
  <c r="C78" i="6"/>
  <c r="I78" i="6"/>
  <c r="D78" i="6" s="1"/>
  <c r="L78" i="6"/>
  <c r="C79" i="6"/>
  <c r="D79" i="6"/>
  <c r="C80" i="6"/>
  <c r="D80" i="6"/>
  <c r="C81" i="6"/>
  <c r="D81" i="6"/>
  <c r="C82" i="6"/>
  <c r="D82" i="6"/>
  <c r="C83" i="6"/>
  <c r="D83" i="6"/>
  <c r="C84" i="6"/>
  <c r="D84" i="6"/>
  <c r="C85" i="6"/>
  <c r="D85" i="6"/>
  <c r="C86" i="6"/>
  <c r="D86" i="6"/>
  <c r="C87" i="6"/>
  <c r="D87" i="6"/>
  <c r="C88" i="6"/>
  <c r="D88" i="6"/>
  <c r="O88" i="6"/>
  <c r="C89" i="6"/>
  <c r="D89" i="6"/>
  <c r="I74" i="6"/>
  <c r="D74" i="6" s="1"/>
  <c r="I73" i="6"/>
  <c r="D73" i="6" s="1"/>
  <c r="I72" i="6"/>
  <c r="I71" i="6"/>
  <c r="D71" i="6" s="1"/>
  <c r="I70" i="6"/>
  <c r="I69" i="6"/>
  <c r="I68" i="6"/>
  <c r="I67" i="6"/>
  <c r="I61" i="6"/>
  <c r="D61" i="6" s="1"/>
  <c r="I66" i="6"/>
  <c r="D66" i="6" s="1"/>
  <c r="I65" i="6"/>
  <c r="D65" i="6" s="1"/>
  <c r="I64" i="6"/>
  <c r="D64" i="6" s="1"/>
  <c r="I63" i="6"/>
  <c r="D63" i="6" s="1"/>
  <c r="I60" i="6"/>
  <c r="I59" i="6"/>
  <c r="I58" i="6"/>
  <c r="I57" i="6"/>
  <c r="I55" i="6"/>
  <c r="D55" i="6" s="1"/>
  <c r="I54" i="6"/>
  <c r="I56" i="6"/>
  <c r="I53" i="6"/>
  <c r="I52" i="6"/>
  <c r="I51" i="6"/>
  <c r="I50" i="6"/>
  <c r="I62" i="6"/>
  <c r="I17" i="6"/>
  <c r="I13" i="6"/>
  <c r="I21" i="6"/>
  <c r="I16" i="6"/>
  <c r="D16" i="6" s="1"/>
  <c r="I10" i="6"/>
  <c r="I12" i="6"/>
  <c r="I25" i="6"/>
  <c r="I23" i="6"/>
  <c r="I22" i="6"/>
  <c r="I20" i="6"/>
  <c r="D20" i="6" s="1"/>
  <c r="I5" i="6"/>
  <c r="I9" i="6"/>
  <c r="I15" i="6"/>
  <c r="I11" i="6"/>
  <c r="I8" i="6"/>
  <c r="I4" i="6"/>
  <c r="I19" i="6"/>
  <c r="I7" i="6"/>
  <c r="I3" i="6"/>
  <c r="I18" i="6"/>
  <c r="I6" i="6"/>
  <c r="I24" i="6"/>
  <c r="I14" i="6"/>
  <c r="I49" i="6"/>
  <c r="D17" i="6" s="1"/>
  <c r="I48" i="6"/>
  <c r="I47" i="6"/>
  <c r="D47" i="6" s="1"/>
  <c r="I46" i="6"/>
  <c r="I45" i="6"/>
  <c r="I44" i="6"/>
  <c r="I43" i="6"/>
  <c r="I42" i="6"/>
  <c r="D42" i="6" s="1"/>
  <c r="I41" i="6"/>
  <c r="I40" i="6"/>
  <c r="I39" i="6"/>
  <c r="D39" i="6" s="1"/>
  <c r="I38" i="6"/>
  <c r="D38" i="6" s="1"/>
  <c r="I37" i="6"/>
  <c r="I36" i="6"/>
  <c r="I35" i="6"/>
  <c r="I34" i="6"/>
  <c r="I33" i="6"/>
  <c r="I32" i="6"/>
  <c r="I31" i="6"/>
  <c r="I30" i="6"/>
  <c r="D18" i="6" s="1"/>
  <c r="I29" i="6"/>
  <c r="I28" i="6"/>
  <c r="I27" i="6"/>
  <c r="I26" i="6"/>
  <c r="D26" i="6" s="1"/>
  <c r="L74" i="6"/>
  <c r="L73" i="6"/>
  <c r="L72" i="6"/>
  <c r="L71" i="6"/>
  <c r="L70" i="6"/>
  <c r="L69" i="6"/>
  <c r="L68" i="6"/>
  <c r="L67" i="6"/>
  <c r="L61" i="6"/>
  <c r="L66" i="6"/>
  <c r="L65" i="6"/>
  <c r="L64" i="6"/>
  <c r="L63" i="6"/>
  <c r="L60" i="6"/>
  <c r="L59" i="6"/>
  <c r="L58" i="6"/>
  <c r="L57" i="6"/>
  <c r="L55" i="6"/>
  <c r="L54" i="6"/>
  <c r="L56" i="6"/>
  <c r="L53" i="6"/>
  <c r="L52" i="6"/>
  <c r="L51" i="6"/>
  <c r="L50" i="6"/>
  <c r="L62" i="6"/>
  <c r="L17" i="6"/>
  <c r="L13" i="6"/>
  <c r="L21" i="6"/>
  <c r="L16" i="6"/>
  <c r="L10" i="6"/>
  <c r="L12" i="6"/>
  <c r="L25" i="6"/>
  <c r="L23" i="6"/>
  <c r="L22" i="6"/>
  <c r="L20" i="6"/>
  <c r="L5" i="6"/>
  <c r="L9" i="6"/>
  <c r="L15" i="6"/>
  <c r="L11" i="6"/>
  <c r="L8" i="6"/>
  <c r="L4" i="6"/>
  <c r="L19" i="6"/>
  <c r="L7" i="6"/>
  <c r="L3" i="6"/>
  <c r="L18" i="6"/>
  <c r="L2" i="6"/>
  <c r="L6" i="6"/>
  <c r="L24" i="6"/>
  <c r="L14" i="6"/>
  <c r="L49" i="6"/>
  <c r="L48" i="6"/>
  <c r="L47" i="6"/>
  <c r="L46" i="6"/>
  <c r="L45" i="6"/>
  <c r="L44" i="6"/>
  <c r="L43" i="6"/>
  <c r="L42" i="6"/>
  <c r="L41" i="6"/>
  <c r="L40" i="6"/>
  <c r="L39" i="6"/>
  <c r="L38" i="6"/>
  <c r="L37" i="6"/>
  <c r="L36" i="6"/>
  <c r="L35" i="6"/>
  <c r="L34" i="6"/>
  <c r="L33" i="6"/>
  <c r="L32" i="6"/>
  <c r="L31" i="6"/>
  <c r="L30" i="6"/>
  <c r="L29" i="6"/>
  <c r="L28" i="6"/>
  <c r="L27" i="6"/>
  <c r="L26" i="6"/>
  <c r="P61" i="6"/>
  <c r="Q61" i="6" s="1"/>
  <c r="P74" i="6"/>
  <c r="Q74" i="6" s="1"/>
  <c r="C74" i="6" s="1"/>
  <c r="P73" i="6"/>
  <c r="Q73" i="6" s="1"/>
  <c r="C73" i="6" s="1"/>
  <c r="P72" i="6"/>
  <c r="Q72" i="6" s="1"/>
  <c r="P71" i="6"/>
  <c r="Q71" i="6" s="1"/>
  <c r="C71" i="6" s="1"/>
  <c r="P70" i="6"/>
  <c r="Q70" i="6" s="1"/>
  <c r="P69" i="6"/>
  <c r="Q69" i="6" s="1"/>
  <c r="P68" i="6"/>
  <c r="Q68" i="6" s="1"/>
  <c r="P67" i="6"/>
  <c r="Q67" i="6" s="1"/>
  <c r="P66" i="6"/>
  <c r="Q66" i="6" s="1"/>
  <c r="P65" i="6"/>
  <c r="Q65" i="6" s="1"/>
  <c r="C65" i="6" s="1"/>
  <c r="P64" i="6"/>
  <c r="Q64" i="6" s="1"/>
  <c r="P63" i="6"/>
  <c r="Q63" i="6" s="1"/>
  <c r="P60" i="6"/>
  <c r="Q60" i="6" s="1"/>
  <c r="P59" i="6"/>
  <c r="Q59" i="6" s="1"/>
  <c r="P58" i="6"/>
  <c r="Q58" i="6" s="1"/>
  <c r="P57" i="6"/>
  <c r="Q57" i="6" s="1"/>
  <c r="P55" i="6"/>
  <c r="Q55" i="6" s="1"/>
  <c r="C55" i="6" s="1"/>
  <c r="P54" i="6"/>
  <c r="Q54" i="6" s="1"/>
  <c r="C54" i="6" s="1"/>
  <c r="P56" i="6"/>
  <c r="Q56" i="6" s="1"/>
  <c r="P53" i="6"/>
  <c r="Q53" i="6" s="1"/>
  <c r="P52" i="6"/>
  <c r="Q52" i="6" s="1"/>
  <c r="P51" i="6"/>
  <c r="Q51" i="6" s="1"/>
  <c r="P50" i="6"/>
  <c r="Q50" i="6" s="1"/>
  <c r="P62" i="6"/>
  <c r="Q62" i="6" s="1"/>
  <c r="P17" i="6"/>
  <c r="Q17" i="6" s="1"/>
  <c r="P13" i="6"/>
  <c r="Q13" i="6" s="1"/>
  <c r="P21" i="6"/>
  <c r="Q21" i="6" s="1"/>
  <c r="P16" i="6"/>
  <c r="Q16" i="6" s="1"/>
  <c r="P10" i="6"/>
  <c r="Q10" i="6" s="1"/>
  <c r="P12" i="6"/>
  <c r="Q12" i="6" s="1"/>
  <c r="P25" i="6"/>
  <c r="Q25" i="6" s="1"/>
  <c r="P23" i="6"/>
  <c r="Q23" i="6" s="1"/>
  <c r="P22" i="6"/>
  <c r="Q22" i="6" s="1"/>
  <c r="P20" i="6"/>
  <c r="Q20" i="6" s="1"/>
  <c r="P5" i="6"/>
  <c r="Q5" i="6" s="1"/>
  <c r="P9" i="6"/>
  <c r="Q9" i="6" s="1"/>
  <c r="P15" i="6"/>
  <c r="Q15" i="6" s="1"/>
  <c r="P11" i="6"/>
  <c r="Q11" i="6" s="1"/>
  <c r="P8" i="6"/>
  <c r="Q8" i="6" s="1"/>
  <c r="P4" i="6"/>
  <c r="Q4" i="6" s="1"/>
  <c r="P19" i="6"/>
  <c r="Q19" i="6" s="1"/>
  <c r="P7" i="6"/>
  <c r="Q7" i="6" s="1"/>
  <c r="P3" i="6"/>
  <c r="Q3" i="6" s="1"/>
  <c r="P18" i="6"/>
  <c r="Q18" i="6" s="1"/>
  <c r="P2" i="6"/>
  <c r="Q2" i="6" s="1"/>
  <c r="P6" i="6"/>
  <c r="Q6" i="6" s="1"/>
  <c r="P24" i="6"/>
  <c r="Q24" i="6" s="1"/>
  <c r="P14" i="6"/>
  <c r="Q14" i="6" s="1"/>
  <c r="P49" i="6"/>
  <c r="P48" i="6"/>
  <c r="P47" i="6"/>
  <c r="Q47" i="6" s="1"/>
  <c r="P46" i="6"/>
  <c r="Q46" i="6" s="1"/>
  <c r="P45" i="6"/>
  <c r="Q45" i="6" s="1"/>
  <c r="P44" i="6"/>
  <c r="P43" i="6"/>
  <c r="Q43" i="6" s="1"/>
  <c r="P42" i="6"/>
  <c r="P41" i="6"/>
  <c r="P40" i="6"/>
  <c r="P39" i="6"/>
  <c r="Q39" i="6" s="1"/>
  <c r="P38" i="6"/>
  <c r="Q38" i="6" s="1"/>
  <c r="P37" i="6"/>
  <c r="Q37" i="6" s="1"/>
  <c r="P36" i="6"/>
  <c r="P35" i="6"/>
  <c r="P34" i="6"/>
  <c r="P33" i="6"/>
  <c r="P32" i="6"/>
  <c r="P31" i="6"/>
  <c r="Q31" i="6" s="1"/>
  <c r="P30" i="6"/>
  <c r="Q30" i="6" s="1"/>
  <c r="P29" i="6"/>
  <c r="Q29" i="6" s="1"/>
  <c r="P28" i="6"/>
  <c r="P27" i="6"/>
  <c r="Q27" i="6" s="1"/>
  <c r="P26" i="6"/>
  <c r="E35" i="10"/>
  <c r="D35" i="10"/>
  <c r="E34" i="10"/>
  <c r="D34" i="10"/>
  <c r="E33" i="10"/>
  <c r="D33" i="10"/>
  <c r="E32" i="10"/>
  <c r="D32" i="10"/>
  <c r="E31" i="10"/>
  <c r="D31" i="10"/>
  <c r="E30" i="10"/>
  <c r="D30" i="10"/>
  <c r="E29" i="10"/>
  <c r="D29" i="10"/>
  <c r="E28" i="10"/>
  <c r="D28" i="10"/>
  <c r="E27" i="10"/>
  <c r="D27" i="10"/>
  <c r="E26" i="10"/>
  <c r="D26" i="10"/>
  <c r="E25" i="10"/>
  <c r="D25" i="10"/>
  <c r="E24" i="10"/>
  <c r="D24" i="10"/>
  <c r="E23" i="10"/>
  <c r="D23" i="10"/>
  <c r="E22" i="10"/>
  <c r="D22" i="10"/>
  <c r="E21" i="10"/>
  <c r="D21" i="10"/>
  <c r="E20" i="10"/>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E6" i="10"/>
  <c r="D6" i="10"/>
  <c r="E5" i="10"/>
  <c r="D5" i="10"/>
  <c r="E4" i="10"/>
  <c r="D4" i="10"/>
  <c r="E3" i="10"/>
  <c r="D3" i="10"/>
  <c r="E2" i="10"/>
  <c r="D2" i="10"/>
  <c r="Y47" i="7"/>
  <c r="Y46" i="7"/>
  <c r="Y45" i="7"/>
  <c r="Y44" i="7"/>
  <c r="Y43" i="7"/>
  <c r="Y42" i="7"/>
  <c r="Y41" i="7"/>
  <c r="Y40" i="7"/>
  <c r="Y39" i="7"/>
  <c r="Y38" i="7"/>
  <c r="Y37" i="7"/>
  <c r="Y36" i="7"/>
  <c r="Y35" i="7"/>
  <c r="Y34" i="7"/>
  <c r="Y33" i="7"/>
  <c r="Y32" i="7"/>
  <c r="Y31" i="7"/>
  <c r="Y30" i="7"/>
  <c r="Y29" i="7"/>
  <c r="Y28" i="7"/>
  <c r="Y27" i="7"/>
  <c r="Y26" i="7"/>
  <c r="Y25" i="7"/>
  <c r="Y24" i="7"/>
  <c r="Y23" i="7"/>
  <c r="Y22" i="7"/>
  <c r="Y21" i="7"/>
  <c r="Y20" i="7"/>
  <c r="Y19" i="7"/>
  <c r="Y18" i="7"/>
  <c r="Y17" i="7"/>
  <c r="Y16" i="7"/>
  <c r="Y15" i="7"/>
  <c r="Y14" i="7"/>
  <c r="Y13" i="7"/>
  <c r="Y12" i="7"/>
  <c r="Y11" i="7"/>
  <c r="Y10" i="7"/>
  <c r="Y9" i="7"/>
  <c r="Y8" i="7"/>
  <c r="Y7" i="7"/>
  <c r="Y6" i="7"/>
  <c r="Y5" i="7"/>
  <c r="Y4" i="7"/>
  <c r="Y3" i="7"/>
  <c r="Y2" i="7"/>
  <c r="U47" i="7"/>
  <c r="U46" i="7"/>
  <c r="U45" i="7"/>
  <c r="U44" i="7"/>
  <c r="U43" i="7"/>
  <c r="U42" i="7"/>
  <c r="U41" i="7"/>
  <c r="U40" i="7"/>
  <c r="U39" i="7"/>
  <c r="U38" i="7"/>
  <c r="U37" i="7"/>
  <c r="U36" i="7"/>
  <c r="U35" i="7"/>
  <c r="U34" i="7"/>
  <c r="U33" i="7"/>
  <c r="U32" i="7"/>
  <c r="U31" i="7"/>
  <c r="U30" i="7"/>
  <c r="U29" i="7"/>
  <c r="U28" i="7"/>
  <c r="U27" i="7"/>
  <c r="U26" i="7"/>
  <c r="U25" i="7"/>
  <c r="U24" i="7"/>
  <c r="U23" i="7"/>
  <c r="U22" i="7"/>
  <c r="U21" i="7"/>
  <c r="U20" i="7"/>
  <c r="U19" i="7"/>
  <c r="U18" i="7"/>
  <c r="U17" i="7"/>
  <c r="U16" i="7"/>
  <c r="U15" i="7"/>
  <c r="U14" i="7"/>
  <c r="U13" i="7"/>
  <c r="U12" i="7"/>
  <c r="U11" i="7"/>
  <c r="U10" i="7"/>
  <c r="U9" i="7"/>
  <c r="U8" i="7"/>
  <c r="U7" i="7"/>
  <c r="U6" i="7"/>
  <c r="U5" i="7"/>
  <c r="U4" i="7"/>
  <c r="U3" i="7"/>
  <c r="U2"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4" i="6" l="1"/>
  <c r="D13" i="6"/>
  <c r="D49" i="6"/>
  <c r="D36" i="6"/>
  <c r="D41" i="6"/>
  <c r="D54" i="6"/>
  <c r="D32" i="6"/>
  <c r="D62" i="6"/>
  <c r="D57" i="6"/>
  <c r="D34" i="6"/>
  <c r="D46" i="6"/>
  <c r="D53" i="6"/>
  <c r="D33" i="6"/>
  <c r="D14" i="6"/>
  <c r="D12" i="6"/>
  <c r="D35" i="6"/>
  <c r="C69" i="6"/>
  <c r="D27" i="6"/>
  <c r="D70" i="6"/>
  <c r="D72" i="6"/>
  <c r="D51" i="6"/>
  <c r="D29" i="6"/>
  <c r="D69" i="6"/>
  <c r="C64" i="6"/>
  <c r="D40" i="6"/>
  <c r="D7" i="6"/>
  <c r="D43" i="6"/>
  <c r="D44" i="6"/>
  <c r="C66" i="6"/>
  <c r="D19" i="6"/>
  <c r="D22" i="6"/>
  <c r="C62" i="6"/>
  <c r="C57" i="6"/>
  <c r="D9" i="6"/>
  <c r="C67" i="6"/>
  <c r="C61" i="6"/>
  <c r="D50" i="6"/>
  <c r="D58" i="6"/>
  <c r="D67" i="6"/>
  <c r="C50" i="6"/>
  <c r="C58" i="6"/>
  <c r="D28" i="6"/>
  <c r="D59" i="6"/>
  <c r="D68" i="6"/>
  <c r="C51" i="6"/>
  <c r="C59" i="6"/>
  <c r="D30" i="6"/>
  <c r="D48" i="6"/>
  <c r="D10" i="6"/>
  <c r="D45" i="6"/>
  <c r="D52" i="6"/>
  <c r="D60" i="6"/>
  <c r="C52" i="6"/>
  <c r="C63" i="6"/>
  <c r="D31" i="6"/>
  <c r="D56" i="6"/>
  <c r="C72" i="6"/>
  <c r="D24" i="6"/>
  <c r="D8" i="6"/>
  <c r="D25" i="6"/>
  <c r="C24" i="6"/>
  <c r="C25" i="6"/>
  <c r="D6" i="6"/>
  <c r="D11" i="6"/>
  <c r="D2" i="6"/>
  <c r="D15" i="6"/>
  <c r="C15" i="6"/>
  <c r="C10" i="6"/>
  <c r="C9" i="6"/>
  <c r="C16" i="6"/>
  <c r="D3" i="6"/>
  <c r="D5" i="6"/>
  <c r="D21" i="6"/>
  <c r="C3" i="6"/>
  <c r="C5" i="6"/>
  <c r="C21" i="6"/>
  <c r="D37" i="6"/>
  <c r="D23" i="6"/>
  <c r="C29" i="6"/>
  <c r="Q35" i="6"/>
  <c r="C35" i="6" s="1"/>
  <c r="C27" i="6"/>
  <c r="C43" i="6"/>
  <c r="C37" i="6"/>
  <c r="Q28" i="6"/>
  <c r="C28" i="6" s="1"/>
  <c r="Q36" i="6"/>
  <c r="C36" i="6" s="1"/>
  <c r="Q44" i="6"/>
  <c r="C44" i="6" s="1"/>
  <c r="Q32" i="6"/>
  <c r="C32" i="6" s="1"/>
  <c r="Q40" i="6"/>
  <c r="C40" i="6" s="1"/>
  <c r="Q48" i="6"/>
  <c r="C48" i="6" s="1"/>
  <c r="Q33" i="6"/>
  <c r="C33" i="6" s="1"/>
  <c r="Q41" i="6"/>
  <c r="C41" i="6" s="1"/>
  <c r="Q49" i="6"/>
  <c r="C49" i="6" s="1"/>
  <c r="Q26" i="6"/>
  <c r="C26" i="6" s="1"/>
  <c r="Q34" i="6"/>
  <c r="C34" i="6" s="1"/>
  <c r="Q42" i="6"/>
  <c r="C42" i="6" s="1"/>
  <c r="C30" i="6"/>
  <c r="C38" i="6"/>
  <c r="C31" i="6"/>
  <c r="C39" i="6"/>
  <c r="C47" i="6"/>
  <c r="C19" i="6" l="1"/>
  <c r="C2" i="6"/>
  <c r="C18" i="6"/>
  <c r="C70" i="6"/>
  <c r="C68" i="6"/>
  <c r="C53" i="6"/>
  <c r="C60" i="6"/>
  <c r="C46" i="6"/>
  <c r="C45" i="6"/>
  <c r="C56" i="6"/>
  <c r="C20" i="6"/>
  <c r="C11" i="6"/>
  <c r="C23" i="6"/>
  <c r="C4" i="6"/>
  <c r="C8" i="6"/>
  <c r="C14" i="6"/>
  <c r="C17" i="6"/>
  <c r="C6" i="6"/>
  <c r="C13" i="6"/>
  <c r="C22" i="6"/>
  <c r="C12" i="6"/>
  <c r="C7" i="6"/>
</calcChain>
</file>

<file path=xl/sharedStrings.xml><?xml version="1.0" encoding="utf-8"?>
<sst xmlns="http://schemas.openxmlformats.org/spreadsheetml/2006/main" count="8033" uniqueCount="3956">
  <si>
    <t>name</t>
  </si>
  <si>
    <t>type</t>
  </si>
  <si>
    <t>img</t>
  </si>
  <si>
    <t>description</t>
  </si>
  <si>
    <t>tier</t>
  </si>
  <si>
    <t>secondary</t>
  </si>
  <si>
    <t>burden</t>
  </si>
  <si>
    <t>additionalActions</t>
  </si>
  <si>
    <t>primaryAction</t>
  </si>
  <si>
    <t>range</t>
  </si>
  <si>
    <t>numtargets</t>
  </si>
  <si>
    <t>trait</t>
  </si>
  <si>
    <t>damage</t>
  </si>
  <si>
    <t>damageType</t>
  </si>
  <si>
    <t>damageTo</t>
  </si>
  <si>
    <t>intrinsicEffects</t>
  </si>
  <si>
    <t>weapon</t>
  </si>
  <si>
    <t>It's an axe</t>
  </si>
  <si>
    <t>twoHanded</t>
  </si>
  <si>
    <t>Legendary_Whip</t>
  </si>
  <si>
    <t>attack</t>
  </si>
  <si>
    <t>melee</t>
  </si>
  <si>
    <t>strength</t>
  </si>
  <si>
    <t>d10+3</t>
  </si>
  <si>
    <t>physical</t>
  </si>
  <si>
    <t>hitPoints</t>
  </si>
  <si>
    <t>Loaded Battleaxe</t>
  </si>
  <si>
    <t>oneHanded</t>
  </si>
  <si>
    <t>DHFeature</t>
  </si>
  <si>
    <t>cumbersome</t>
  </si>
  <si>
    <t>healing</t>
  </si>
  <si>
    <t>beastform</t>
  </si>
  <si>
    <t>summon</t>
  </si>
  <si>
    <t>generic</t>
  </si>
  <si>
    <t>macro</t>
  </si>
  <si>
    <t>Primary Actions</t>
  </si>
  <si>
    <t>Action Subtypes</t>
  </si>
  <si>
    <t>action</t>
  </si>
  <si>
    <t>passive</t>
  </si>
  <si>
    <t>reaction</t>
  </si>
  <si>
    <t>Target Resource</t>
  </si>
  <si>
    <t>armorPoints</t>
  </si>
  <si>
    <t>stress</t>
  </si>
  <si>
    <t>hope</t>
  </si>
  <si>
    <t>fear</t>
  </si>
  <si>
    <t>Conditions</t>
  </si>
  <si>
    <t>vulnerable</t>
  </si>
  <si>
    <t>hidden</t>
  </si>
  <si>
    <t>defeated</t>
  </si>
  <si>
    <t>restrained</t>
  </si>
  <si>
    <t>unconscious</t>
  </si>
  <si>
    <t>dead</t>
  </si>
  <si>
    <t>category</t>
  </si>
  <si>
    <t>action_identifier</t>
  </si>
  <si>
    <t>action_name</t>
  </si>
  <si>
    <t>action_type</t>
  </si>
  <si>
    <t>action_description</t>
  </si>
  <si>
    <t>Dragonscale_Armor</t>
  </si>
  <si>
    <t>Impenetrable</t>
  </si>
  <si>
    <t>effect</t>
  </si>
  <si>
    <t>Once per short rest, when you would mark your last Hit Point, you can instead mark a Stress.</t>
  </si>
  <si>
    <t>Dunamis_Silkchain</t>
  </si>
  <si>
    <t>Slow Time</t>
  </si>
  <si>
    <t>Mark an Armor Slot to roll a d4 and add its result as a bonus to your Evasion against an incoming attack.</t>
  </si>
  <si>
    <t>Emberwoven_Armor</t>
  </si>
  <si>
    <t>Burn</t>
  </si>
  <si>
    <t>When an adversary attacks you within Melee range, they mark a Stress.</t>
  </si>
  <si>
    <t>Harrowbone_Armor</t>
  </si>
  <si>
    <t>Resilient</t>
  </si>
  <si>
    <t>Before you mark your last Armor Slot, roll a d6. On a result of 6, reduce the severity by one threshold without marking an Armor Slot.</t>
  </si>
  <si>
    <t>Rosewild_Armor</t>
  </si>
  <si>
    <t>Hope</t>
  </si>
  <si>
    <t>When you would spend a Hope, you can mark an Armor Slot instead.</t>
  </si>
  <si>
    <t>Runes_of_Fortification</t>
  </si>
  <si>
    <t>Pain</t>
  </si>
  <si>
    <t>Each time you mark an Armor Slot, you must mark a Stress.</t>
  </si>
  <si>
    <t>Runetan_Floating_Armor</t>
  </si>
  <si>
    <t>Shift</t>
  </si>
  <si>
    <t>When you are targeted for an attack, you can mark an Armor Slot to give the attack roll against you disadvantage.</t>
  </si>
  <si>
    <t>Tyris_Soft_Armor</t>
  </si>
  <si>
    <t>Quiet</t>
  </si>
  <si>
    <t>You gain a +2 bonus to rolls you make to move silently.</t>
  </si>
  <si>
    <t>Veritas_Opal_Armor</t>
  </si>
  <si>
    <t>Truthseeking</t>
  </si>
  <si>
    <t>This armor glows when another creature within Close range tells a lie.</t>
  </si>
  <si>
    <t>consumables</t>
  </si>
  <si>
    <t>Acidpaste</t>
  </si>
  <si>
    <t>Use</t>
  </si>
  <si>
    <t>&lt;p&gt;This paste eats away walls and other surfaces in bright flashes.&lt;/p&gt;</t>
  </si>
  <si>
    <t>Armor_Stitcher</t>
  </si>
  <si>
    <t>Stitch</t>
  </si>
  <si>
    <t>&lt;p&gt;You can use this stitcher to spend any number of Hope and clear that many Armor Slots.&lt;/p&gt;</t>
  </si>
  <si>
    <t>Attune_Potion</t>
  </si>
  <si>
    <t>Drink</t>
  </si>
  <si>
    <t>&lt;p&gt;You gain a +1 bonus to your next Instinct Roll.&lt;/p&gt;</t>
  </si>
  <si>
    <t>Blinding_Orb</t>
  </si>
  <si>
    <t>Activate</t>
  </si>
  <si>
    <t>&lt;p&gt;You can activate this orb to create a flash of bright light. All targets within Close range become Vulnerable until they mark HP.&lt;/p&gt;&lt;p&gt;@Template[type:emanation|range:c]&lt;/p&gt;</t>
  </si>
  <si>
    <t>Blood_of_the_Yorgi</t>
  </si>
  <si>
    <t>&lt;p&gt;You can drink this blood to disappear from where you are and immediately reappear at a point you can see within Very Far range.&lt;/p&gt;</t>
  </si>
  <si>
    <t>Bolster_Potion</t>
  </si>
  <si>
    <t>&lt;p&gt;You gain a +1 bonus to your next Strength Roll.&lt;/p&gt;</t>
  </si>
  <si>
    <t>Bonding_Honey</t>
  </si>
  <si>
    <t>&lt;p&gt;This honey can be used to glue two objects together permanently.&lt;/p&gt;</t>
  </si>
  <si>
    <t>Bridge_Seed</t>
  </si>
  <si>
    <t>Plant</t>
  </si>
  <si>
    <t>&lt;p&gt;Thick vines grow from your location to a point of your choice within Far range, allowing you to climb up or across them. The vines dissipate on your next short rest.&lt;/p&gt;</t>
  </si>
  <si>
    <t>Channelstone</t>
  </si>
  <si>
    <t>&lt;p&gt;You can use this stone to take a spell or grimoire from your vault, use it once, and return it to your vault.&lt;/p&gt;</t>
  </si>
  <si>
    <t>Charm_Potion</t>
  </si>
  <si>
    <t>&lt;p&gt;You gain a +1 bonus to your next Presence Roll.&lt;/p&gt;</t>
  </si>
  <si>
    <t>Circle_of_the_Void</t>
  </si>
  <si>
    <t>&lt;p&gt;Mark a Stress to create a void that extends up to Far range. No magic can be cast inside the void, and creatures within the void are immune to magic damage.&lt;/p&gt;</t>
  </si>
  <si>
    <t>Control_Potion</t>
  </si>
  <si>
    <t>&lt;p&gt;You gain a +1 bonus to your next Finesse Roll.&lt;/p&gt;</t>
  </si>
  <si>
    <t>Death_Tea</t>
  </si>
  <si>
    <t>&lt;p&gt;After you drink this tea, you instantly kill your target when you critically succeed on an attack. If you donâ€™t critically succeed on an attack before your next long rest, you die.&lt;/p&gt;</t>
  </si>
  <si>
    <t>Dragonbloom_Tea</t>
  </si>
  <si>
    <t>Barrel in like a raging bull. Drink. deal d20 damage</t>
  </si>
  <si>
    <t>Dripfang_Poison</t>
  </si>
  <si>
    <t>Consume</t>
  </si>
  <si>
    <t>&lt;p&gt;A creature who consumes this poison takes 8d10 direct magic damage.&lt;/p&gt;</t>
  </si>
  <si>
    <t>Enlighten_Potion</t>
  </si>
  <si>
    <t>&lt;p&gt;You gain a +1 bonus to your next Knowledge Roll.&lt;/p&gt;</t>
  </si>
  <si>
    <t>Feast_of_Xuria</t>
  </si>
  <si>
    <t>Eat</t>
  </si>
  <si>
    <t>&lt;p&gt;You can eat this meal to clear all HP and Stress and gain 1d4 Hope.&lt;/p&gt;</t>
  </si>
  <si>
    <t>Featherbone</t>
  </si>
  <si>
    <t>&lt;p&gt;You can use this bone to control your falling speed for a number of minutes equal to your level.&lt;/p&gt;</t>
  </si>
  <si>
    <t>Gill_Salve</t>
  </si>
  <si>
    <t>Apply</t>
  </si>
  <si>
    <t>&lt;p&gt;You can apply this salve to your neck to breathe underwater for a number of minutes equal to your level.&lt;/p&gt;</t>
  </si>
  <si>
    <t>Grindletooth_Venom</t>
  </si>
  <si>
    <t>&lt;p&gt;You can apply this venom to a weapon that deals physical damage to add a d6 to your next damage roll with that weapon.&lt;/p&gt;</t>
  </si>
  <si>
    <t>Growing_Potion</t>
  </si>
  <si>
    <t>&lt;p&gt;You can drink this potion to double your size until you choose to drop this form or your next rest. While in this form, you have a +2 bonus to Strength and a +1 bonus to your Proficiency.&lt;/p&gt;</t>
  </si>
  <si>
    <t>Health_Potion</t>
  </si>
  <si>
    <t>&lt;p&gt;Clear 1d4+1 HP.&lt;/p&gt;</t>
  </si>
  <si>
    <t>Homet_s_Secret_Potion</t>
  </si>
  <si>
    <t>&lt;p&gt;After drinking this potion, the next successful attack you make critically succeeds.&lt;/p&gt;</t>
  </si>
  <si>
    <t>Hopehold_Flare</t>
  </si>
  <si>
    <t>&lt;p&gt;When you use this flare, allies within Close range roll a d6 when they spend a Hope. On a result of 6, they gain the effect of that Hope without spending it. The flare lasts until the end of the scene.&lt;/p&gt;&lt;p&gt;@Template[type:emanation|range:c]&lt;/p&gt;</t>
  </si>
  <si>
    <t>Improved_Arcane_Shard</t>
  </si>
  <si>
    <t>Throw</t>
  </si>
  <si>
    <t>&lt;p&gt;You can make a Finesse Roll to throw this shard at a group of adversaries within Far range. Targets you succeed against take 2d20 magic damage.&lt;/p&gt;</t>
  </si>
  <si>
    <t>Improved_Grindletooth_Venom</t>
  </si>
  <si>
    <t>&lt;p&gt;You can apply this venom to a weapon that deals physical damage to add a d8 to your next damage roll with that weapon.&lt;/p&gt;</t>
  </si>
  <si>
    <t>Jar_of_Lost_Voices</t>
  </si>
  <si>
    <t>Open</t>
  </si>
  <si>
    <t>&lt;p&gt;You can open this jar to release a deafening echo of voices for a number of minutes equal to your Instinct. Creatures within Far range unprepared for the sound take 6d8 magic damage.&lt;/p&gt;&lt;p&gt;@Template[type:emanation|range:f]&lt;/p&gt;</t>
  </si>
  <si>
    <t>Jumping_Root</t>
  </si>
  <si>
    <t>&lt;p&gt;Eat this root to leap up to Far range once without needing to roll.&lt;/p&gt;</t>
  </si>
  <si>
    <t>Knowledge_Stone</t>
  </si>
  <si>
    <t>&lt;p&gt;If you die while holding this stone, an ally can take a card from your loadout to place in their loadout or vault. After they take this knowledge, the stone crumbles.&lt;/p&gt;</t>
  </si>
  <si>
    <t>Major_Arcane_Shard</t>
  </si>
  <si>
    <t>&lt;p&gt;You can make a Finesse Roll to throw this shard at a group of adversaries within Far range. Targets you succeed against take 4d20 magic damage.&lt;/p&gt;</t>
  </si>
  <si>
    <t>Major_Attune_Potion</t>
  </si>
  <si>
    <t>&lt;p&gt;You gain a +1 bonus to your Instinct until your next rest.&lt;/p&gt;</t>
  </si>
  <si>
    <t>Major_Bolster_Potion</t>
  </si>
  <si>
    <t>&lt;p&gt;You gain a +1 bonus to your Strength until your next rest.&lt;/p&gt;</t>
  </si>
  <si>
    <t>Major_Charm_Potion</t>
  </si>
  <si>
    <t>&lt;p&gt;You gain a +1 bonus to your Presence until your next rest.&lt;/p&gt;</t>
  </si>
  <si>
    <t>Major_Control_Potion</t>
  </si>
  <si>
    <t>&lt;p&gt;You gain a +1 bonus to your Finesse until your next rest.&lt;/p&gt;</t>
  </si>
  <si>
    <t>Major_Enlighten_Potion</t>
  </si>
  <si>
    <t>&lt;p&gt;You gain a +1 bonus to your Knowledge until your next rest.&lt;/p&gt;</t>
  </si>
  <si>
    <t>Major_Health_Potion</t>
  </si>
  <si>
    <t>&lt;p&gt;Clear 1d4+2 HP.&lt;/p&gt;</t>
  </si>
  <si>
    <t>Major_Stamina_Potion</t>
  </si>
  <si>
    <t>&lt;p&gt;Clear 1d4+2 Stress.&lt;/p&gt;</t>
  </si>
  <si>
    <t>Major_Stride_Potion</t>
  </si>
  <si>
    <t>&lt;p&gt;You gain a +1 bonus to your Agility until your next rest.&lt;/p&gt;</t>
  </si>
  <si>
    <t>Minor_Health_Potion</t>
  </si>
  <si>
    <t>&lt;p&gt;Clear 1d4 HP.&lt;/p&gt;</t>
  </si>
  <si>
    <t>Minor_Stamina_Potion</t>
  </si>
  <si>
    <t>&lt;p&gt;Clear 1d4 Stress.&lt;/p&gt;</t>
  </si>
  <si>
    <t>Mirror_of_Marigold</t>
  </si>
  <si>
    <t>&lt;p&gt;When you take damage, you can spend a Hope to negate that damage, after which the mirror shatters.&lt;/p&gt;</t>
  </si>
  <si>
    <t>Morphing_Clay</t>
  </si>
  <si>
    <t>&lt;p&gt;You can spend a Hope to use this clay, altering your face enough to make you unrecognizable until your next rest.&lt;/p&gt;</t>
  </si>
  <si>
    <t>Mythic_Dust</t>
  </si>
  <si>
    <t>&lt;p&gt;You can apply this dust to a weapon that deals magic damage to add a d12 to your next damage roll with that weapon.&lt;/p&gt;</t>
  </si>
  <si>
    <t>Ogre_Musk</t>
  </si>
  <si>
    <t>&lt;p&gt;You can use this musk to prevent anyone from tracking you by mundane or magical means until your next rest.&lt;/p&gt;</t>
  </si>
  <si>
    <t>Potion_of_Stability</t>
  </si>
  <si>
    <t>&lt;p&gt;You can drink this potion to choose one additional downtime move.&lt;/p&gt;</t>
  </si>
  <si>
    <t>Redthorn_Saliva</t>
  </si>
  <si>
    <t>&lt;p&gt;You can apply this saliva to a weapon that deals physical damage to add a d12 to your next damage roll with that weapon.&lt;/p&gt;</t>
  </si>
  <si>
    <t>Replication_Parchment</t>
  </si>
  <si>
    <t>&lt;p&gt;By touching this piece of parchment to another, you can perfectly copy the second parchmentâ€™s contents. Once used, this parchment becomes mundane paper.&lt;/p&gt;</t>
  </si>
  <si>
    <t>Shrinking_Potion</t>
  </si>
  <si>
    <t>&lt;p&gt;You can drink this potion to halve your size until you choose to drop this form or your next rest. While in this form, you have a +2 bonus to Agility and a âˆ’1 penalty to your Proficiency.&lt;/p&gt;</t>
  </si>
  <si>
    <t>Sleeping_Sap</t>
  </si>
  <si>
    <t>Wake</t>
  </si>
  <si>
    <t>&lt;p&gt;You can drink this potion to fall asleep for a full nightâ€™s rest. You clear all Stress upon waking.&lt;/p&gt;</t>
  </si>
  <si>
    <t>Snap_Powder</t>
  </si>
  <si>
    <t>Imbibe</t>
  </si>
  <si>
    <t>&lt;p&gt;Mark a Stress and clear a HP.&lt;/p&gt;</t>
  </si>
  <si>
    <t>Stamina_Potion</t>
  </si>
  <si>
    <t>&lt;p&gt;Clear 1d4+1 Stress.&lt;/p&gt;</t>
  </si>
  <si>
    <t>Stardrop</t>
  </si>
  <si>
    <t>&lt;p&gt;You can use this stardrop to summon a hailstorm of comets that deals 8d20 physical damage to all targets within Very Far range.&lt;/p&gt;&lt;p&gt;@Template[type:emanation|range:vf]&lt;/p&gt;</t>
  </si>
  <si>
    <t>Stride_Potion</t>
  </si>
  <si>
    <t>&lt;p&gt;You gain a +1 bonus to your next Agility Roll.&lt;/p&gt;</t>
  </si>
  <si>
    <t>Sun_Tree_Sap</t>
  </si>
  <si>
    <t>&lt;p&gt;Consume this sap to roll a [[/r d6]]. On a result of 5â€“6, clear 2 HP. On a result of 2â€“4, clear 3 Stress. On a result of 1, see through the veil of death and return changed, gaining one scar.&lt;/p&gt;</t>
  </si>
  <si>
    <t>Sweet_Moss</t>
  </si>
  <si>
    <t>Clear Hit Points</t>
  </si>
  <si>
    <t>&lt;p&gt;You can consume this moss during a rest to clear 1d10 HP.&lt;/p&gt;</t>
  </si>
  <si>
    <t>Clear Stress</t>
  </si>
  <si>
    <t>&lt;p&gt;You can consume this moss during a rest to clear 1d10 Stress.&lt;/p&gt;</t>
  </si>
  <si>
    <t>Unstable_Arcane_Shard</t>
  </si>
  <si>
    <t>&lt;p&gt;You can make a Finesse Roll to throw this shard at a group of adversaries within Far range. Targets you succeed against take 1d20 magic damage.&lt;/p&gt;</t>
  </si>
  <si>
    <t>Varik_Leaves</t>
  </si>
  <si>
    <t>&lt;p&gt;You can eat these paired leaves to immediately gain 2 Hope.&lt;/p&gt;</t>
  </si>
  <si>
    <t>Vial_of_Darksmoke</t>
  </si>
  <si>
    <t>&lt;p&gt;When an adversary attacks you, use this vial and roll a number of d6s equal to your Agility. Add the highest result to your Evasion against the attack.&lt;/p&gt;</t>
  </si>
  <si>
    <t>Vial_of_Moondrip</t>
  </si>
  <si>
    <t>&lt;p&gt;When you drink the contents of this vial, you can see in total darkness until your next rest.&lt;/p&gt;</t>
  </si>
  <si>
    <t>Wingsprout</t>
  </si>
  <si>
    <t>&lt;p&gt;You gain magic wings that allow you to fly for a number of minutes equal to your level.&lt;/p&gt;</t>
  </si>
  <si>
    <t>A_Soldier_s_Bond</t>
  </si>
  <si>
    <t>Gain 3 Hope</t>
  </si>
  <si>
    <t>&lt;p class="Body-Foundation"&gt;Once per long rest, when you compliment someone or ask them about something theyâ€™re good at, you can both gain 3 Hope.&lt;/p&gt;</t>
  </si>
  <si>
    <t>Adjust_Reality</t>
  </si>
  <si>
    <t>Spend Hope</t>
  </si>
  <si>
    <t>&lt;p&gt;After you or a willing ally make any roll, you can &lt;strong&gt;spend 5 Hope&lt;/strong&gt; to change the numerical result of that roll to a result of your choice instead. The result must be plausible within the range of the dice.&lt;/p&gt;</t>
  </si>
  <si>
    <t>Arcana_Touched</t>
  </si>
  <si>
    <t>Switch Duality Results</t>
  </si>
  <si>
    <t>&lt;p&gt;&lt;span class="vertical-card-list-found" style="box-sizing: border-box; margin: 0px 0px 0.25rem; scrollbar-width: thin; scrollbar-color: rgb(93, 20, 43) rgba(0, 0, 0, 0); font-family: Montserrat, sans-serif"&gt;Once per rest, you can switch the results of your Hope and Fear Dice.&lt;/span&gt;&lt;/p&gt;</t>
  </si>
  <si>
    <t>Arcane_Reflection</t>
  </si>
  <si>
    <t>Reflect Back</t>
  </si>
  <si>
    <t>&lt;p class="Body-Foundation"&gt;When you would take magic damage, you can &lt;strong&gt;spend any number of Hope&lt;/strong&gt; to roll that many &lt;strong&gt;d6s&lt;/strong&gt;. If any roll a 6, the attack is reflected back to the caster, dealing the damage to them instead.&lt;/p&gt;</t>
  </si>
  <si>
    <t>Armorer</t>
  </si>
  <si>
    <t>Repair Armor</t>
  </si>
  <si>
    <t>&lt;p class="Body-Foundation"&gt;During a rest, when you choose to repair your armor as a downtime move, your allies also clear an Armor Slot.&lt;/p&gt;</t>
  </si>
  <si>
    <t>Astral_Projection</t>
  </si>
  <si>
    <t>Project</t>
  </si>
  <si>
    <t>&lt;p class="Body-Foundation"&gt;Once per long rest, &lt;strong&gt;mark a Stress&lt;/strong&gt; to create a projected copy of yourself that can appear anywhere youâ€™ve been before.&lt;/p&gt;&lt;p class="Body-Foundation"&gt;You can see and hear through the projection as though it were you and affect the world as though you were there. A creature investigating the projection can tell itâ€™s of magical origin. This effect lasts until your next rest or your projection takes any damage.&lt;/p&gt;</t>
  </si>
  <si>
    <t>Banish</t>
  </si>
  <si>
    <t>Spellcast Roll</t>
  </si>
  <si>
    <t>&lt;p class="Body-Foundation"&gt;Make a &lt;strong&gt;Spellcast Roll&lt;/strong&gt; against a target within Close range. On a success, roll a number of &lt;strong&gt;d20&lt;/strong&gt;s equal to your Spellcast trait. The target must make a reaction roll with a Difficulty equal to your highest result. On a success, the target must mark a Stress but isnâ€™t banished. Once per rest on a failure, they are banished from this realm.&lt;/p&gt;&lt;p class="Body-Foundation"&gt;When the PCs roll with Fear, the Difficulty gains a âˆ’1 penalty and the target makes another reaction roll. On a success, they return from banishment.&lt;/p&gt;</t>
  </si>
  <si>
    <t>Battle_Cry</t>
  </si>
  <si>
    <t>Clear Stress &amp; Gain Hope</t>
  </si>
  <si>
    <t>&lt;p class="Body-Foundation"&gt;Once per long rest, while youâ€™re charging into danger, you can muster a rousing call that inspires your allies. All allies who can hear you each clear a Stress and gain a Hope. Additionally, your allies gain advantage on attack rolls until you or an ally rolls a failure with Fear.&lt;/p&gt;</t>
  </si>
  <si>
    <t>Battle_Hardened</t>
  </si>
  <si>
    <t>Spend a Hope</t>
  </si>
  <si>
    <t>&lt;p class="Body-Foundation"&gt;Once per long rest when you would make a Death Move, you can &lt;strong&gt;spend a Hope&lt;/strong&gt; to clear a Hit Point instead.&lt;/p&gt;</t>
  </si>
  <si>
    <t>Battle_Monster</t>
  </si>
  <si>
    <t>Mark 4 Stress</t>
  </si>
  <si>
    <t>&lt;p class="Body-Foundation"&gt;When you make a successful attack against an adversary, you can &lt;strong&gt;mark 4 Stress&lt;/strong&gt; to force the target to mark a number of Hit Points equal to the number of Hit Points you currently have marked instead of rolling for damage.&lt;/p&gt;</t>
  </si>
  <si>
    <t>Blink_Out</t>
  </si>
  <si>
    <t>Teleport</t>
  </si>
  <si>
    <t>&lt;p&gt;Make a &lt;strong&gt;Spellcast Roll (12)&lt;/strong&gt;. On a success, &lt;strong&gt;spend a Hope&lt;/strong&gt; to teleport to another point you can see within Far range. If any willing creatures are within Very Close range, &lt;strong&gt;spend an additional Hope&lt;/strong&gt; for each creature to bring them with you.&lt;/p&gt;</t>
  </si>
  <si>
    <t>Bold_Presence</t>
  </si>
  <si>
    <t>Avoid Condition</t>
  </si>
  <si>
    <t>&lt;p&gt;Additionally, once per rest when you would gain a condition, you can describe how your bold presence aids you in the situation and avoid gaining the condition.&lt;/p&gt;</t>
  </si>
  <si>
    <t>&lt;p class="Body-Foundation"&gt;When you make a Presence Roll, you can &lt;strong&gt;spend a Hope&lt;/strong&gt; to add your Strength to the roll.&lt;/p&gt;</t>
  </si>
  <si>
    <t>Bolt_Beacon</t>
  </si>
  <si>
    <t>Cast</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</si>
  <si>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none"&gt;Make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0);"&gt;Spellcast Roll&lt;/strong&gt;&lt;/span&gt;&lt;span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against a target within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initial"&gt;Far&lt;/span&gt;&lt;span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range. On a success,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initial"&gt;spend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0);"&gt;Hope&lt;/strong&gt;&lt;/span&gt;&lt;span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send a bolt of shimmering light toward them, dealing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initial"&gt;d8+2&lt;/span&gt;&lt;span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magic damage using your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initial"&gt;Proficiency&lt;/span&gt;&lt;span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The target becomes temporarily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initial"&gt;&lt;em style="box-sizing: border-box; scrollbar-width: thin; scrollbar-color: rgb(93, 20, 43) rgba(0, 0, 0, 0);"&gt;Vulnerable&lt;/em&gt;&lt;/span&gt;&lt;span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and glows brightly until this condition is cleared.&lt;/span&gt;&lt;/p&gt;</t>
  </si>
  <si>
    <t>Bone_Touched</t>
  </si>
  <si>
    <t>&lt;p&gt;Once per rest, you can &lt;strong&gt;spend 3 Hope&lt;/strong&gt; to cause an attack that succeeded against you to fail instead.&lt;/p&gt;</t>
  </si>
  <si>
    <t>Book_of_Ava</t>
  </si>
  <si>
    <t>Ice Spike</t>
  </si>
  <si>
    <t>&lt;p&gt;Make a &lt;strong&gt;Spellcast Roll (12)&lt;/strong&gt; to summon a large ice spike within Far range. If you use it as a weapon, make the Spellcast Roll against the targetâ€™s Difficulty instead. On a success, deal &lt;strong&gt;d6&lt;/strong&gt; physical damage using your Proficiency.&lt;/p&gt;</t>
  </si>
  <si>
    <t>Ice Spike (Attack)</t>
  </si>
  <si>
    <t>Power Push</t>
  </si>
  <si>
    <t>&lt;p&gt;&lt;/p&gt;&lt;p class="Card-Feature"&gt;Make a &lt;strong&gt;Spellcast Roll&lt;/strong&gt; against a target within Melee range. On a success, theyâ€™re knocked back to Far range and take &lt;strong&gt;d10+2&lt;/strong&gt; magic damage using your Proficiency.&lt;/p&gt;</t>
  </si>
  <si>
    <t>Tava's Armor</t>
  </si>
  <si>
    <t>&lt;p class="Card-Feature"&gt;&lt;strong&gt;Spend a Hope&lt;/strong&gt; to give a target you can touch a +1 bonus to their Armor Score until their next rest or you cast Tavaâ€™s Armor again.&lt;/p&gt;</t>
  </si>
  <si>
    <t>Book_of_Exota</t>
  </si>
  <si>
    <t>Construct (Take Action)</t>
  </si>
  <si>
    <t>&lt;p class="Card-Feature"&gt;Make a &lt;strong&gt;Spellcast Roll&lt;/strong&gt; to command the constructs to take action. When necessary, they share your Evasion and traits and their attacks deal &lt;strong&gt;2d10+3&lt;/strong&gt; physical damage. You can only maintain one construct at a time, and they fall apart when they take any amount of damage.&lt;/p&gt;</t>
  </si>
  <si>
    <t>Create Construct</t>
  </si>
  <si>
    <t>&lt;p class="Card-Feature"&gt;&lt;strong&gt;Spend a Hope&lt;/strong&gt; to choose a group of objects around you and create an animated construct from them that obeys basic commands.&lt;/p&gt;</t>
  </si>
  <si>
    <t>Repudiate</t>
  </si>
  <si>
    <t>&lt;p class="Card-Feature"&gt;You can interrupt a magical effect taking place. Make a reaction roll using your Spellcast trait. Once per rest on a success, the effect stops and any consequences are avoided.&lt;/p&gt;</t>
  </si>
  <si>
    <t>Book_of_Grynn</t>
  </si>
  <si>
    <t>Arcane Deflection</t>
  </si>
  <si>
    <t>&lt;p class="Card-Feature"&gt;Once per long rest, &lt;strong&gt;spend a Hope&lt;/strong&gt; to negate the damage of an attack targeting you or an ally within Very Close range.&lt;/p&gt;</t>
  </si>
  <si>
    <t>Time Lock</t>
  </si>
  <si>
    <t>&lt;p class="Card-Feature"&gt;Target an object within Far range. That object stops in time and space exactly where it is until your next rest. If a creature tries to move it, make a &lt;strong&gt;Spellcast Roll&lt;/strong&gt; against them to maintain this spell.&lt;/p&gt;</t>
  </si>
  <si>
    <t>Wall Of Flame</t>
  </si>
  <si>
    <t>&lt;p class="Card-Feature"&gt;Make a &lt;strong&gt;Spellcast Roll (15)&lt;/strong&gt;. On a success, create a wall of magical flame between two points within Far range. All creatures in its path must choose a side to be on, and anything that subsequently passes through the wall takes &lt;strong&gt;4d10+3&lt;/strong&gt; magic damage.&lt;/p&gt;&lt;p&gt;@Template[type:ray|range:f]&lt;/p&gt;</t>
  </si>
  <si>
    <t>Book_of_Homet</t>
  </si>
  <si>
    <t>Pass Through</t>
  </si>
  <si>
    <t>&lt;p&gt;Make a &lt;strong&gt;Spellcast Roll (13)&lt;/strong&gt;. Once per rest on a success, you and all creatures touching you can pass through a wall or door within Close range. The effect ends once everyone is on the other side.&lt;/p&gt;</t>
  </si>
  <si>
    <t>Plane Gate</t>
  </si>
  <si>
    <t>&lt;p class="Card-Feature"&gt;Make a &lt;strong&gt;Spellcast Roll (14)&lt;/strong&gt;. Once per long rest on a success, open a gateway to a location in another dimension or plane of existence youâ€™ve been to before. This gateway lasts until your next rest.&lt;/p&gt;</t>
  </si>
  <si>
    <t>Book_of_Illiat</t>
  </si>
  <si>
    <t>Arcane Barrage</t>
  </si>
  <si>
    <t>&lt;p class="Card-Feature"&gt;Once per rest, &lt;strong&gt;spend any number of Hope&lt;/strong&gt; and shoot magical projectiles that strike a target of your choice within Close range. Roll a number of &lt;strong&gt;d6s&lt;/strong&gt; equal to the Hope spent and deal that much magic damage to the target.&lt;/p&gt;</t>
  </si>
  <si>
    <t>Slumber</t>
  </si>
  <si>
    <t>&lt;p&gt;&lt;/p&gt;&lt;p class="Card-Feature"&gt;&lt;em&gt;&lt;strong&gt;Slumber:&lt;/strong&gt;&lt;/em&gt; Make a &lt;strong&gt;Spellcast Roll&lt;/strong&gt; against a target within Very Close range. On a success, theyâ€™re &lt;em&gt;Asleep&lt;/em&gt; until they take damage or the GM spends a &lt;strong&gt;Fear&lt;/strong&gt; on their turn to clear this condition.&lt;/p&gt;</t>
  </si>
  <si>
    <t>Telepathy</t>
  </si>
  <si>
    <t>&lt;p class="Card-Feature"&gt;&lt;strong&gt;Spend a Hope&lt;/strong&gt; to open a line of mental communication with one target you can see. This connection lasts until your next rest or you cast Telepathy again.&lt;/p&gt;</t>
  </si>
  <si>
    <t>Book_of_Korvax</t>
  </si>
  <si>
    <t>Levitation</t>
  </si>
  <si>
    <t>&lt;p class="Card-Feature"&gt;Make a &lt;strong&gt;Spellcast Roll&lt;/strong&gt; to temporarily lift a target you can see up into the air and move them within Close range of their original position.&lt;/p&gt;</t>
  </si>
  <si>
    <t>Recant</t>
  </si>
  <si>
    <t>&lt;p class="Card-Feature"&gt;&lt;strong&gt;Spend a Hope&lt;/strong&gt; to force a target within Melee range to make a Reaction Roll (15). On a failure, they forget the last minute of your conversation.&lt;/p&gt;</t>
  </si>
  <si>
    <t>Rune Circle</t>
  </si>
  <si>
    <t>&lt;p class="Card-Feature"&gt;&lt;strong&gt;Mark a Stress&lt;/strong&gt; to create a temporary magical circle on the ground where you stand. All adversaries within Melee range, or who enter Melee range, take &lt;strong&gt;2d12+4&lt;/strong&gt; magic damage and are knocked back to Very Close range.&lt;/p&gt;&lt;p&gt;@Template[type:emanation|range:m]&lt;/p&gt;</t>
  </si>
  <si>
    <t>Book_of_Norai</t>
  </si>
  <si>
    <t>Fireball</t>
  </si>
  <si>
    <t>&lt;p class="Card-Feature"&gt;Make a &lt;strong&gt;Spellcast Roll&lt;/strong&gt; against a target within Very Far range. On a success, hurl a sphere of fire toward them that explodes on impact. The target and all creatures within Very Close range of them must make a Reaction Roll (13). Targets who fail take&lt;strong&gt; d20+5&lt;/strong&gt; magic damage using your Proficiency. Targets who succeed take half damage.&lt;/p&gt;&lt;p&gt;@Template[type:emanation|range:vc]&lt;/p&gt;</t>
  </si>
  <si>
    <t>Mystic Tether</t>
  </si>
  <si>
    <t>&lt;p class="Card-Feature"&gt;Make a &lt;strong&gt;Spellcast Roll&lt;/strong&gt; against a target within Far range. On a success, theyâ€™re temporarily &lt;em&gt;Restrained&lt;/em&gt; and must mark a Stress. If you target a flying creature, this spell grounds and temporarily &lt;em&gt;Restrains&lt;/em&gt; them.&lt;/p&gt;</t>
  </si>
  <si>
    <t>Book_of_Ronin</t>
  </si>
  <si>
    <t>Eternal Enervation</t>
  </si>
  <si>
    <t>&lt;p&gt;Once per long rest, make a &lt;strong&gt;Spellcast Roll&lt;/strong&gt; against a target within Close range. On a success, they become permanently &lt;em&gt;Vulnerable&lt;/em&gt;. They canâ€™t clear this condition by any means.&lt;/p&gt;</t>
  </si>
  <si>
    <t>Transform</t>
  </si>
  <si>
    <t>&lt;p class="Card-Feature"&gt;Make a &lt;strong&gt;Spellcast Roll (15)&lt;/strong&gt;. On a success, transform into an inanimate object no larger than twice your normal size. You can remain in this shape until you take damage.&lt;/p&gt;</t>
  </si>
  <si>
    <t>Book_of_Sitil</t>
  </si>
  <si>
    <t>Adjust Appearance</t>
  </si>
  <si>
    <t>&lt;p class="Card-Feature"&gt;You magically shift your appearance and clothing to avoid recognition.&lt;/p&gt;</t>
  </si>
  <si>
    <t>Illusion</t>
  </si>
  <si>
    <t>&lt;p class="Card-Feature"&gt;Make a &lt;strong&gt;Spellcast Roll (14)&lt;/strong&gt;. On a success, create a temporary visual illusion no larger than you within Close range that lasts for as long as you look at it. It holds up to scrutiny until an observer is within Melee range.&lt;/p&gt;</t>
  </si>
  <si>
    <t>Parallela</t>
  </si>
  <si>
    <t>&lt;p class="Card-Feature"&gt;&lt;strong&gt;Spend 2 Hope&lt;/strong&gt; to cast this spell on yourself or an ally within Close range. The next time the target makes an attack, they can hit an additional target within range that their attack roll would succeed against. You can only hold this spell on one creature at a time.&lt;/p&gt;</t>
  </si>
  <si>
    <t>Book_of_Tyfar</t>
  </si>
  <si>
    <t>Magic Hand</t>
  </si>
  <si>
    <t>&lt;p class="Card-Feature"&gt;You conjure a magical hand with the same size and strength as your own within Far range.&lt;/p&gt;</t>
  </si>
  <si>
    <t>Mysterious Mist</t>
  </si>
  <si>
    <t>&lt;p class="Card-Feature"&gt;Make a &lt;strong&gt;Spellcast Roll (13)&lt;/strong&gt; to cast a temporary thick fog that gathers in a stationary area within Very Close range. The fog heavily obscures this area and everything in it.&lt;/p&gt;&lt;p&gt;@Template[type:emanation|range:vc]&lt;/p&gt;</t>
  </si>
  <si>
    <t>Wild Flame</t>
  </si>
  <si>
    <t>&lt;p class="Card-Feature"&gt;Make a &lt;strong&gt;Spellcast Roll&lt;/strong&gt; against up to three adversaries within Melee range. Targets you succeed against take &lt;strong&gt;2d6&lt;/strong&gt; magic damage and must mark a Stress as flames erupt from your hand.&lt;/p&gt;</t>
  </si>
  <si>
    <t>Book_of_Vagras</t>
  </si>
  <si>
    <t>Arcane Door</t>
  </si>
  <si>
    <t>&lt;p class="Card-Feature"&gt;When you have no adversaries within Melee range, make a &lt;strong&gt;Spellcast Roll (13)&lt;/strong&gt;. On a success, &lt;strong&gt;spend a Hope&lt;/strong&gt; to create a portal from where you are to a point within Far range you can see. It closes once a creature has passed through it.&lt;/p&gt;</t>
  </si>
  <si>
    <t>Reveal</t>
  </si>
  <si>
    <t>&lt;p class="Card-Feature"&gt;Make a &lt;strong&gt;Spellcast Roll&lt;/strong&gt;. If there is anything magically hidden within Close range the roll would succeed against, it is revealed.&lt;/p&gt;&lt;p&gt;@Template[type:emanation|range:c]&lt;/p&gt;</t>
  </si>
  <si>
    <t>Runic Lock</t>
  </si>
  <si>
    <t>&lt;p class="Card-Feature"&gt;Make a &lt;strong&gt;Spellcast Roll (15)&lt;/strong&gt; on an object youâ€™re touching that can close (such as a lock, chest, or box). Once per rest on a success, you can lock the object so it can only be opened by creatures of your choice. Someone with access to magic and an hour of time to study the spell can break it.&lt;/p&gt;</t>
  </si>
  <si>
    <t>Book_of_Vyola</t>
  </si>
  <si>
    <t>Memory Delve</t>
  </si>
  <si>
    <t>&lt;p class="Card-Feature"&gt;Make a &lt;strong&gt;Spellcast Roll&lt;/strong&gt; against a target within Far range. On a success, peer into the targetâ€™s mind and ask the GM a question. The GM describes any memories the target has pertaining to the answer.&lt;/p&gt;</t>
  </si>
  <si>
    <t>Shared Clarity</t>
  </si>
  <si>
    <t>&lt;p class="Card-Feature"&gt;Once per long rest, &lt;strong&gt;spend a Hope&lt;/strong&gt; to choose two willing creatures. When one of them would mark Stress, they can choose between the two of them who marks it. This spell lasts until their next rest.&lt;/p&gt;</t>
  </si>
  <si>
    <t>Book_of_Yarrow</t>
  </si>
  <si>
    <t>Magic Immunity</t>
  </si>
  <si>
    <t>&lt;p class="Card-Feature"&gt;&lt;strong&gt;Spend 5 Hope&lt;/strong&gt; to become immune to magic damage until your next rest.&lt;/p&gt;</t>
  </si>
  <si>
    <t>Timejammer</t>
  </si>
  <si>
    <t>&lt;p class="Card-Feature"&gt;Make a &lt;strong&gt;Spellcast Roll (18)&lt;/strong&gt;. On a success, time temporarily slows to a halt for everyone within Far range except for you. It resumes the next time you make an action roll that targets another creature.&lt;/p&gt;&lt;p&gt;@Template[type:emanation|range:f]&lt;/p&gt;</t>
  </si>
  <si>
    <t>Boost</t>
  </si>
  <si>
    <t>Mark Stress</t>
  </si>
  <si>
    <t>&lt;p class="Body-Foundation"&gt;&lt;strong&gt;Mark a Stress&lt;/strong&gt; to boost off a willing ally within Close range, fling yourself into the air, and perform an aerial attack against a target within Far range. You have advantage on the attack, add a&lt;strong&gt; d10&lt;/strong&gt; to the damage roll, and end your move within Melee range of the target.&lt;/p&gt;</t>
  </si>
  <si>
    <t>Breaking_Blow</t>
  </si>
  <si>
    <t>&lt;p class="Body-Foundation"&gt;When you make a successful attack, you can &lt;strong&gt;mark a Stress&lt;/strong&gt; to make the next successful attack against that same target deal an extra &lt;strong&gt;2d12&lt;/strong&gt; damage.&lt;/p&gt;</t>
  </si>
  <si>
    <t>Chain_Lightning</t>
  </si>
  <si>
    <t>&lt;p&gt;&lt;strong&gt;Mark 2 Stress&lt;/strong&gt; to make a &lt;strong&gt;Spellcast Roll&lt;/strong&gt;, unleashing lightning on all targets within Close range. Targets you succeed against must make a reaction roll with a Difficulty equal to the result of your Spellcast Roll. Targets who fail take &lt;strong&gt;2d8+4&lt;/strong&gt; magic damage. &lt;/p&gt;</t>
  </si>
  <si>
    <t>Chain Damage</t>
  </si>
  <si>
    <t>&lt;p&gt;Additional adversaries not already targeted by Chain Lightning and within Close range of previous targets who took damage must also make the reaction roll. Targets who fail take &lt;strong&gt;2d8+4&lt;/strong&gt; magic damage. This chain continues until there are no more adversaries within range.&lt;/p&gt;</t>
  </si>
  <si>
    <t>Champion_s_Edge</t>
  </si>
  <si>
    <t>Clear 1 Armor Slot</t>
  </si>
  <si>
    <t>Plant a precise strike. Spend 1 Hope to deal d6 damage</t>
  </si>
  <si>
    <t>Clear 1 HP</t>
  </si>
  <si>
    <t>&lt;p class="Body-Foundation-No-BOLDITALIC"&gt;When you critically succeed on an attack, you can &lt;strong&gt;spend up to 3 Hope&lt;/strong&gt; and choose one of the following options for each Hope spent:&lt;/p&gt;&lt;ul class=""&gt;&lt;li class="vertical-card-list"&gt;&lt;p&gt;You clear a Hit Point.&lt;/p&gt;&lt;/li&gt;&lt;li class="vertical-card-list"&gt;&lt;p&gt;You clear an Armor Slot.&lt;/p&gt;&lt;/li&gt;&lt;li class="vertical-card-list"&gt;The target must mark an additional Hit Point.&lt;/li&gt;&lt;/ul&gt;&lt;p class="Card-Feature"&gt;You canâ€™t choose the same option more than once.&lt;/p&gt;</t>
  </si>
  <si>
    <t>Deal 1 HP Damage</t>
  </si>
  <si>
    <t>Lash out with a flash of steel. Spend 1 Hope to deal d6 Physical damage</t>
  </si>
  <si>
    <t>Chokehold</t>
  </si>
  <si>
    <t>Damage</t>
  </si>
  <si>
    <t>&lt;p&gt;When a creature attacks a target who is &lt;em&gt;Vulnerable&lt;/em&gt; in this way, they deal an extra &lt;strong&gt;2d6&lt;/strong&gt; damage.&lt;/p&gt;</t>
  </si>
  <si>
    <t>Pull into Chokehold</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</si>
  <si>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none"&gt;When you position yourself behind a creature whoâ€™s about your size, you can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initial"&gt;mark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0);"&gt;Stress&lt;/strong&gt;&lt;/span&gt;&lt;span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pull them into a chokehold, making them temporarily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initial"&gt;&lt;em style="box-sizing: border-box; scrollbar-width: thin; scrollbar-color: rgb(93, 20, 43) rgba(0, 0, 0, 0);"&gt;Vulnerable&lt;/em&gt;&lt;/span&gt;&lt;span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none"&gt;.&lt;/span&gt;&lt;/p&gt;</t>
  </si>
  <si>
    <t>Cinder_Grasp</t>
  </si>
  <si>
    <t>&lt;p&gt;Make a &lt;strong&gt;Spellcast Roll&lt;/strong&gt; against a target within Melee range. On a success, the target instantly bursts into flames, takes &lt;strong&gt;1d20+3&lt;/strong&gt; magic damage, and is temporarily lit &lt;em&gt;On Fire&lt;/em&gt;.&lt;/p&gt;</t>
  </si>
  <si>
    <t>On Fire: Damage</t>
  </si>
  <si>
    <t>&lt;p&gt;When a creature acts while &lt;em&gt;On Fire&lt;/em&gt;, they must take an extra &lt;strong&gt;2d6&lt;/strong&gt; magic damage if they are still &lt;em&gt;On Fire&lt;/em&gt; at the end of their action.&lt;/p&gt;</t>
  </si>
  <si>
    <t>Cloaking_Blast</t>
  </si>
  <si>
    <t>Become Cloaked</t>
  </si>
  <si>
    <t>Let loose a flare of power. Become Cloaked. Spend 1 Hope</t>
  </si>
  <si>
    <t>Codex_Touched</t>
  </si>
  <si>
    <t>&lt;p&gt;You can &lt;strong&gt;mark a Stress&lt;/strong&gt; to add your Proficiency to a Spellcast Roll.&lt;/p&gt;</t>
  </si>
  <si>
    <t>Replace Card</t>
  </si>
  <si>
    <t>&lt;p&gt;Once per rest, replace this card with any card from your vault without paying its Recall Cost.&lt;/p&gt;</t>
  </si>
  <si>
    <t>Confusing_Aura</t>
  </si>
  <si>
    <t>Create Extra Layers</t>
  </si>
  <si>
    <t>&lt;p&gt;&lt;span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initial"&gt;Mark any number of Stress&lt;/span&gt;&lt;span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make that many additional layers. &lt;/span&gt;&lt;/p&gt;</t>
  </si>
  <si>
    <t>Create First Layer</t>
  </si>
  <si>
    <t>&lt;p&gt;Make a &lt;strong&gt;Spellcast Roll (14)&lt;/strong&gt;. Once per long rest on a success, you create a layer of illusion over your body that makes it hard to tell exactly where you are. &lt;/p&gt;</t>
  </si>
  <si>
    <t>Conjure_Swarm</t>
  </si>
  <si>
    <t>Fire Flies: Cast</t>
  </si>
  <si>
    <t>&lt;p&gt;&lt;em&gt;&lt;strong&gt;Fire Flies:&lt;/strong&gt;&lt;/em&gt; Make a &lt;strong&gt;Spellcast Roll&lt;/strong&gt; against all adversaries within Close range. &lt;strong&gt;Spend a Hope&lt;/strong&gt; to deal &lt;strong&gt;2d8+3&lt;/strong&gt; magic damage to targets you succeeded against.&lt;/p&gt;</t>
  </si>
  <si>
    <t>Keep Beetles</t>
  </si>
  <si>
    <t>&lt;p&gt;You can &lt;strong&gt;spend a Hope&lt;/strong&gt; to keep the beetles conjured after taking damage.&lt;/p&gt;</t>
  </si>
  <si>
    <t>Tekaira's Armored Beetles: Stress</t>
  </si>
  <si>
    <t>&lt;p&gt;&lt;em&gt;&lt;strong&gt;Tekaira Armored Beetles:&lt;/strong&gt;&lt;/em&gt; &lt;strong&gt;Mark a Stress&lt;/strong&gt; to conjure armored beetles that encircle you. When you next take damage, reduce the severity by one threshold.&lt;/p&gt;</t>
  </si>
  <si>
    <t>Conjured_Steeds</t>
  </si>
  <si>
    <t>Conjure</t>
  </si>
  <si>
    <t>&lt;p class="Body-Foundation"&gt;&lt;strong&gt;Spend any number of Hope&lt;/strong&gt; to conjure that many magical steeds (such as horses, camels, or elephants) that you and your allies can ride until your next long rest or the steeds take any damage. The steeds double your land speed while traveling and, when in danger, allow you to move within Far range without having to roll. Creatures riding a steed gain a âˆ’2 penalty to attack rolls and a +2 bonus to damage rolls.&lt;/p&gt;</t>
  </si>
  <si>
    <t>Copycat</t>
  </si>
  <si>
    <t>Mimic</t>
  </si>
  <si>
    <t>&lt;p class="Body-Foundation"&gt;Once per long rest, this card can mimic the features of another domain card of level 8 or lower in another playerâ€™s loadout. &lt;strong&gt;Spend Hope equal to half the cardâ€™s level&lt;/strong&gt; to gain access to the feature. It lasts until your next rest or they place the card in their vault.&lt;/p&gt;</t>
  </si>
  <si>
    <t>Corrosive_Projectile</t>
  </si>
  <si>
    <t>&lt;p class="Body-Foundation"&gt;Make a &lt;strong&gt;Spellcast Roll&lt;/strong&gt; against a target within Far range. On a success, deal &lt;strong&gt;d6+4&lt;/strong&gt; magic damage using your Proficiency.&lt;/p&gt;</t>
  </si>
  <si>
    <t>Corrode</t>
  </si>
  <si>
    <t>&lt;p&gt;Additionally, &lt;strong&gt;mark 2 or more Stress&lt;/strong&gt; to make them permanently &lt;em&gt;Corroded&lt;/em&gt;. While a target is &lt;em&gt;Corroded&lt;/em&gt;, they gain a âˆ’1 penalty to their Difficulty for every 2 Stress you spent. This condition can stack.&lt;/p&gt;</t>
  </si>
  <si>
    <t>Counterspell</t>
  </si>
  <si>
    <t>Interrupt</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</si>
  <si>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none"&gt;You can interrupt a magical effect taking place by making a reaction roll using your Spellcast trait. On a success, the effect stops and any consequences are avoided, and this card is placed in your vault.&lt;/span&gt;&lt;/p&gt;</t>
  </si>
  <si>
    <t>Critical_Inspiration</t>
  </si>
  <si>
    <t>Critically Succeed</t>
  </si>
  <si>
    <t>&lt;p&gt;&lt;/p&gt;&lt;p class="Body-Foundation"&gt;Once per rest, when you critically succeed on an attack, all allies within Very Close range can clear a Stress or gain a Hope.&lt;/p&gt;&lt;p&gt;&lt;/p&gt;</t>
  </si>
  <si>
    <t>Dark_Whispers</t>
  </si>
  <si>
    <t>Ask a question</t>
  </si>
  <si>
    <t>Barrel in like a raging bull. Ask A Question. Mark 1 Stress</t>
  </si>
  <si>
    <t>Deadly_Focus</t>
  </si>
  <si>
    <t>Focus</t>
  </si>
  <si>
    <t>&lt;p class="Body-Foundation"&gt;Once per rest, you can apply all your focus toward a target of your choice. Until you attack another creature, you defeat the target, or the battle ends, gain a +1 bonus to your Proficiency.&lt;/p&gt;</t>
  </si>
  <si>
    <t>Death_Grip</t>
  </si>
  <si>
    <t>Constrict</t>
  </si>
  <si>
    <t>&lt;p class="Body-Foundation-No-BOLDITALIC"&gt;Make a &lt;strong&gt;Spellcast Roll&lt;/strong&gt; against a target within Close range and choose the following option:&lt;/p&gt;&lt;ul&gt;&lt;li class="vertical-card-list"&gt;&lt;p&gt;You constrict the target and force them to mark 2 Stress.&lt;/p&gt;&lt;/li&gt;&lt;/ul&gt;&lt;p class="Body-Foundation-No-BOLDITALIC"&gt;On a success, vines reach out from your hands, causing the chosen effect and temporarily &lt;em&gt;Restraining&lt;/em&gt; the target.&lt;/p&gt;</t>
  </si>
  <si>
    <t>Hit All Adversaries Between</t>
  </si>
  <si>
    <t>&lt;p class="Body-Foundation-No-BOLDITALIC"&gt;Make a &lt;strong&gt;Spellcast Roll&lt;/strong&gt; against a target within Close range and choose the following option:&lt;/p&gt;&lt;ul&gt;&lt;li class="vertical-card-list"&gt;&lt;p&gt;All adversaries between you and the target must succeed on a Reaction Roll (13) or be hit by vines, taking &lt;strong&gt;3d6+2&lt;/strong&gt; physical damage.&lt;/p&gt;&lt;/li&gt;&lt;/ul&gt;&lt;p class="Body-Foundation-No-BOLDITALIC"&gt;On a success, vines reach out from your hands, causing the chosen effect and temporarily &lt;em&gt;Restraining&lt;/em&gt; the target.&lt;/p&gt;</t>
  </si>
  <si>
    <t>Pull</t>
  </si>
  <si>
    <t>&lt;p class="Body-Foundation-No-BOLDITALIC"&gt;Make a &lt;strong&gt;Spellcast Roll&lt;/strong&gt; against a target within Close range, and choose the following option:&lt;/p&gt;&lt;ul&gt;&lt;li class="vertical-card-list"&gt;&lt;p&gt;You pull the target into Melee range or pull yourself into Melee range of them.&lt;/p&gt;&lt;/li&gt;&lt;/ul&gt;&lt;p class="Body-Foundation-No-BOLDITALIC"&gt;On a success, vines reach out from your hands, causing the chosen effect and temporarily &lt;em&gt;Restraining&lt;/em&gt; the target.&lt;/p&gt;</t>
  </si>
  <si>
    <t>Deathrun</t>
  </si>
  <si>
    <t>&lt;p class="Body-Foundation"&gt;&lt;strong&gt;Spend 3 Hope&lt;/strong&gt; to run a straight path through the battlefield to a point within Far range, making an attack against all adversaries within your weaponâ€™s range along that path. Choose the order in which you deal damage to the targets you succeeded against. For the first, roll your weapon damage with a +1 bonus to your Proficiency. Then remove a die from your damage roll and deal the remaining damage to the next target. Continue to remove a die for each subsequent target until you have no more damage dice or adversaries.&lt;/p&gt;&lt;p class="Body-Foundation"&gt;You canâ€™t target the same adversary more than once per attack.&lt;/p&gt;</t>
  </si>
  <si>
    <t>Deft_Deceiver</t>
  </si>
  <si>
    <t>Gain Advantage</t>
  </si>
  <si>
    <t>&lt;p&gt;&lt;strong&gt;Spend a Hope&lt;/strong&gt; to gain advantage on a roll to deceive or trick someone into believing a lie you tell them&lt;/p&gt;</t>
  </si>
  <si>
    <t>Deft_Maneuvers</t>
  </si>
  <si>
    <t>&lt;p class="Body-Foundation"&gt;Once per rest,&lt;strong&gt; mark a Stress&lt;/strong&gt; to sprint anywhere within Far range without making an Agility Roll to get there.&lt;/p&gt;&lt;p class="Body-Foundation"&gt;If you end this movement within Melee range of an adversary and immediately make an attack against them, gain a +1 bonus to the attack roll.&lt;/p&gt;</t>
  </si>
  <si>
    <t>Disintegration_Wave</t>
  </si>
  <si>
    <t>&lt;p class="Body"&gt;Make a &lt;strong&gt;Spellcast Roll (18)&lt;/strong&gt;. Once per long rest on a success, the GM tells you which adversaries within Far range have a Difficulty of 18 or lower. &lt;strong&gt;Mark a Stress&lt;/strong&gt; for each one you wish to hit with this spell. They are killed and canâ€™t come back to life by any means.&lt;/p&gt;</t>
  </si>
  <si>
    <t>Divination</t>
  </si>
  <si>
    <t>Ask one Question</t>
  </si>
  <si>
    <t>&lt;p&gt;Once per long rest, &lt;strong&gt;spend 3 Hope&lt;/strong&gt; to reach out to the forces beyond and ask one â€œyes or noâ€ question about an event, person, place, or situation in the near future. For a moment, the present falls away and you see the answer before you.&lt;/p&gt;</t>
  </si>
  <si>
    <t>Earthquake</t>
  </si>
  <si>
    <t>&lt;p&gt;Make a &lt;strong&gt;Spellcast Roll (16)&lt;/strong&gt;. Once per rest on a success, all targets within Very Far range who arenâ€™t flying must make a Reaction Roll (18). Targets who fail take &lt;strong&gt;3d10+8&lt;/strong&gt; physical damage and are temporarily &lt;em&gt;Vulnerable&lt;/em&gt;. Targets who succeed take half damage.&lt;/p&gt;&lt;p&gt;Additionally, when you succeed on the Spellcast Roll, all terrain within Very Far range becomes difficult to move through and structures within this range might sustain damage or crumble.&lt;/p&gt;</t>
  </si>
  <si>
    <t>Eclipse</t>
  </si>
  <si>
    <t>&lt;p&gt;Make a &lt;strong&gt;Spellcast Roll (16)&lt;/strong&gt;. Once per long rest on a success, plunge the entire area within Far range into complete darkness only you and your allies can see through. Attack rolls have disadvantage when targeting you or an ally within this shadow.&lt;/p&gt;</t>
  </si>
  <si>
    <t>Target Marks Stress</t>
  </si>
  <si>
    <t>Drive home a vicious sweep. Target Marks Stress. deal d6 damage</t>
  </si>
  <si>
    <t>Encore</t>
  </si>
  <si>
    <t>Repeat Attack</t>
  </si>
  <si>
    <t>Channel a surge of will. Repeat Attack. trigger the effect</t>
  </si>
  <si>
    <t>Endless_Charisma</t>
  </si>
  <si>
    <t>Spend Hope to Reroll</t>
  </si>
  <si>
    <t>&lt;p class="Body-Foundation"&gt;After you make an action roll to persuade, lie, or garner favor, you can &lt;strong&gt;spend a Hope&lt;/strong&gt; to reroll the Hope or Fear Die.&lt;/p&gt;</t>
  </si>
  <si>
    <t>Enrapture</t>
  </si>
  <si>
    <t>&lt;p&gt;Make a &lt;strong&gt;Spellcast Roll&lt;/strong&gt; against a target within Close range. On a success, they become temporarily &lt;em&gt;Enraptured&lt;/em&gt;. While &lt;em&gt;Enraptured&lt;/em&gt;, a targetâ€™s attention is fixed on you, narrowing their field of view and drowning out any sound but your voice.&lt;/p&gt;</t>
  </si>
  <si>
    <t>&lt;p&gt;Once per rest on a success, you can &lt;strong&gt;mark a Stress&lt;/strong&gt; to force the &lt;em&gt;Enraptured&lt;/em&gt; target to mark a Stress as well.&lt;/p&gt;</t>
  </si>
  <si>
    <t>Falling_Sky</t>
  </si>
  <si>
    <t>Attack</t>
  </si>
  <si>
    <t>&lt;p class="Body-Foundation"&gt;Make a &lt;strong&gt;Spellcast Roll&lt;/strong&gt; against all adversaries within Far range. &lt;strong&gt;Mark any number of Stress&lt;/strong&gt; to make shards of arcana rain down from above. Targets you succeed against take &lt;strong&gt;1d20+2&lt;/strong&gt; magic damage for each Stress marked.&lt;/p&gt;&lt;p&gt;@Template[type:emanation|range:f]&lt;/p&gt;</t>
  </si>
  <si>
    <t>Ferocity</t>
  </si>
  <si>
    <t>&lt;p class="Body-Foundation"&gt;When you cause an adversary to mark 1 or more Hit Points, you can &lt;strong&gt;spend 2 Hope&lt;/strong&gt; to increase your Evasion by the number of Hit Points they marked. This bonus lasts until after the next attack made against you.&lt;/p&gt;</t>
  </si>
  <si>
    <t>Final_Words</t>
  </si>
  <si>
    <t>Infuse Corpse</t>
  </si>
  <si>
    <t>Lash out with a flash of steel. Infuse Corpse. trigger the effect</t>
  </si>
  <si>
    <t>Flight</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</si>
  <si>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none"&gt;Make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0);"&gt;Spellcast Roll&lt;/strong&gt;&lt;/span&gt;&lt;span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 (15)&lt;/span&gt;&lt;span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On a success, place a number of tokens equal to your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initial"&gt;Agility&lt;/span&gt;&lt;span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on this card (minimum 1).&lt;/span&gt;&lt;/p&gt;</t>
  </si>
  <si>
    <t>Spend Token</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</si>
  <si>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none"&gt;When you make an action roll while flying, spend a token from this card. After the action that spends the last token is resolved, you descend to the ground directly below you.&lt;/span&gt;&lt;/p&gt;</t>
  </si>
  <si>
    <t>Floating_Eye</t>
  </si>
  <si>
    <t>Create Orb</t>
  </si>
  <si>
    <t>&lt;p&gt;&lt;span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initial"&gt;Spend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0);"&gt;Hope&lt;/strong&gt;&lt;/span&gt;&lt;span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create a single, small floating orb that you can move anywhere within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initial"&gt;Very Far&lt;/span&gt;&lt;span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range. While this spell is active, you can see through the orb as though youâ€™re looking out from its position. You can transition between using your own senses and seeing through the orb freely. If the orb takes damage or moves out of range, the spell ends.&lt;/span&gt;&lt;/p&gt;</t>
  </si>
  <si>
    <t>Forager</t>
  </si>
  <si>
    <t>1. Unique Food (Stress)</t>
  </si>
  <si>
    <t>&lt;ol&gt;&lt;li&gt;&lt;p&gt;A unique food (Clear 2 Stress)&lt;/p&gt;&lt;/li&gt;&lt;/ol&gt;</t>
  </si>
  <si>
    <t>2. Beautiful Relic (Hope)</t>
  </si>
  <si>
    <t>&lt;p&gt;&lt;/p&gt;&lt;ol start="2"&gt;&lt;li&gt;&lt;p&gt;A beautiful relic (Gain 2 Hope)&lt;/p&gt;&lt;/li&gt;&lt;/ol&gt;</t>
  </si>
  <si>
    <t>3. Arcane Rune (Spellcast Roll)</t>
  </si>
  <si>
    <t>&lt;p&gt;&lt;/p&gt;&lt;ol start="3"&gt;&lt;li&gt;&lt;p&gt;An arcane rune (+2 to a Spellcast Roll)&lt;/p&gt;&lt;/li&gt;&lt;/ol&gt;</t>
  </si>
  <si>
    <t>4. Healing Vial (HP)</t>
  </si>
  <si>
    <t>&lt;ol start="4"&gt;&lt;li&gt;&lt;p&gt;A healing vial (Clear 2 Hit Points)&lt;/p&gt;&lt;/li&gt;&lt;/ol&gt;</t>
  </si>
  <si>
    <t>Force_of_Nature</t>
  </si>
  <si>
    <t>Spend Hope for Action</t>
  </si>
  <si>
    <t>&lt;p class="Body-Foundation"&gt;Before you make an action roll, you must &lt;strong&gt;spend a Hope&lt;/strong&gt;. If you canâ€™t, you revert to your normal form.&lt;/p&gt;</t>
  </si>
  <si>
    <t>&lt;p class="Body-Foundation-No-BOLDITALIC"&gt;&lt;strong&gt;Mark a Stress&lt;/strong&gt; to transform into a hulking nature spirit, gaining the following benefits:&lt;/p&gt;&lt;ul&gt;&lt;li class="vertical-card-list"&gt;&lt;p&gt;When you succeed on an attack or Spellcast Roll, gain a +10 bonus to the damage roll.&lt;/p&gt;&lt;/li&gt;&lt;li class="vertical-card-list"&gt;&lt;p&gt;When you deal enough damage to defeat a creature within Close range, you absorb them and clear an Armor Slot.&lt;/p&gt;&lt;/li&gt;&lt;li class="vertical-card-list"&gt;&lt;p&gt;You canâ€™t be &lt;em&gt;Restrained&lt;/em&gt;.&lt;/p&gt;&lt;/li&gt;&lt;/ul&gt;&lt;p class="Body-Foundation"&gt;Before you make an action roll, you must &lt;strong&gt;spend a Hope&lt;/strong&gt;. If you canâ€™t, you revert to your normal form.&lt;/p&gt;</t>
  </si>
  <si>
    <t>Forceful_Push</t>
  </si>
  <si>
    <t>&lt;p class="Body-Foundation"&gt;Make an attack with your primary weapon against a target within Melee range. On a success, you deal damage and knock them back to Close range. On a success with Hope, add a &lt;strong&gt;d6&lt;/strong&gt; to your damage roll.&lt;/p&gt;&lt;p&gt;Additionally, you can &lt;strong&gt;spend a Hope&lt;/strong&gt; to make them temporarily &lt;em&gt;Vulnerable&lt;/em&gt;.&lt;/p&gt;</t>
  </si>
  <si>
    <t>Forest_Sprites</t>
  </si>
  <si>
    <t>&lt;p class="Body"&gt;Make a &lt;strong&gt;Spellcast Roll (13)&lt;/strong&gt;. On a success, &lt;strong&gt;spend any number of Hope&lt;/strong&gt; to create an equal number of small forest sprites who appear at points you choose within Far range, providing the following benefits:&lt;/p&gt;&lt;ul class=""&gt;&lt;li class="vertical-card-list"&gt;&lt;p&gt;Your allies gain a +3 bonus to attack rolls against adversaries within Melee range of a sprite.&lt;/p&gt;&lt;/li&gt;&lt;li class="vertical-card-list"&gt;&lt;p&gt;An ally who marks an Armor Slot while within Melee range of a sprite can mark an additional Armor Slot.&lt;/p&gt;&lt;/li&gt;&lt;/ul&gt;&lt;p class="Body"&gt;A sprite vanishes after granting a benefit or taking any damage.&lt;/p&gt;</t>
  </si>
  <si>
    <t>Frenzy</t>
  </si>
  <si>
    <t>Let loose a flare of power. Frenzy. trigger the effect</t>
  </si>
  <si>
    <t>Full_Surge</t>
  </si>
  <si>
    <t>&lt;p class="Body-Foundation"&gt;Once per long rest, &lt;strong&gt;mark 3 Stress&lt;/strong&gt; to push your body to its limits. Gain a +2 bonus to all of your character traits until your next rest.&lt;/p&gt;</t>
  </si>
  <si>
    <t>Gifted_Tracker</t>
  </si>
  <si>
    <t>Ask Questions</t>
  </si>
  <si>
    <t>&lt;p&gt;When youâ€™re tracking a specific creature or group of creatures based on signs of their passage, you &lt;strong&gt;can spend any number of Hope&lt;/strong&gt; and ask the GM that many questions from the following list.&lt;/p&gt;&lt;ul&gt;&lt;li class="vertical-card-list"&gt;What direction did they go?&lt;/li&gt;&lt;li class="vertical-card-list"&gt;How long ago did they pass through?&lt;/li&gt;&lt;li class="vertical-card-list"&gt;What were they doing in this location?&lt;/li&gt;&lt;li class="vertical-card-list"&gt;How many of them were here?&lt;/li&gt;&lt;/ul&gt;&lt;p class="Body-Foundation"&gt;When you encounter creatures youâ€™ve tracked in this way, gain a +1 bonus to your Evasion against them.&lt;/p&gt;</t>
  </si>
  <si>
    <t>Glancing_Blow</t>
  </si>
  <si>
    <t>Mark a Stress</t>
  </si>
  <si>
    <t>&lt;p class="Body-Foundation"&gt;When you fail an attack, you can &lt;strong&gt;mark a Stress&lt;/strong&gt; to deal weapon damage using half your Proficiency.&lt;/p&gt;</t>
  </si>
  <si>
    <t>Glyph_of_Nightfall</t>
  </si>
  <si>
    <t>&lt;p class="Body-Foundation"&gt;Make a &lt;strong&gt;Spellcast Roll&lt;/strong&gt; against a target within Very Close range. On a success, &lt;strong&gt;spend a Hope&lt;/strong&gt; to conjure a dark glyph upon their body that exposes their weak points, temporarily reducing the targetâ€™s Difficulty by a value equal to your Knowledge (minimum 1).&lt;/p&gt;</t>
  </si>
  <si>
    <t>Goad_Them_On</t>
  </si>
  <si>
    <t>Goad</t>
  </si>
  <si>
    <t>&lt;p class="Body-Foundation"&gt;Describe how you taunt a target within Close range, then make a &lt;strong&gt;Presence Roll&lt;/strong&gt; against them. On a success, the target must mark a Stress, and the next time the GM spotlights them, they must target you with an attack, which they make with disadvantage.&lt;/p&gt;</t>
  </si>
  <si>
    <t>Gore_and_Glory</t>
  </si>
  <si>
    <t>&lt;p class="Body-Foundation"&gt;When you critically succeed on a weapon attack, gain an additional Hope or clear an additional Stress.&lt;/p&gt;&lt;p class="Body-Foundation"&gt;Additionally, when you deal enough damage to defeat an enemy, gain a Hope or clear a Stress.&lt;/p&gt;</t>
  </si>
  <si>
    <t>Gain Hope</t>
  </si>
  <si>
    <t>Grace_Touched</t>
  </si>
  <si>
    <t>Mark 1 Stress</t>
  </si>
  <si>
    <t>Barrel in like a raging bull. Mark 1 Stress. deal d6 damage</t>
  </si>
  <si>
    <t>Mark Armor Slot</t>
  </si>
  <si>
    <t>Lash out with a flash of steel. Mark Armor Slot. Spend 1 Armor</t>
  </si>
  <si>
    <t>Ground_Pound</t>
  </si>
  <si>
    <t>Strike Ground</t>
  </si>
  <si>
    <t>&lt;p class="Body-Foundation"&gt;&lt;strong&gt;Spend 2 Hope&lt;/strong&gt; to strike the ground where you stand and make a &lt;strong&gt;Strength Roll&lt;/strong&gt; against all targets within Very Close range. Targets you succeed against are thrown back to Far range and must make a Reaction Roll (17). Targets who fail take &lt;strong&gt;4d10+8&lt;/strong&gt; damage. Targets who succeed take half damage.&lt;/p&gt;&lt;p&gt;@Template[type:emanation|range:vc]&lt;/p&gt;</t>
  </si>
  <si>
    <t>Healing_Field</t>
  </si>
  <si>
    <t>Heal 1 Hit Point</t>
  </si>
  <si>
    <t>&lt;p&gt;Once per long rest, you can conjure a field of healing plants around you. Everywhere within Close range of you bursts to life with vibrant nature, allowing you and all allies in the area to clear a Hit Point.&lt;/p&gt;&lt;p class="Body-Foundation"&gt;&lt;strong&gt;Spend 2 Hope&lt;/strong&gt; to allow you and all allies to clear 2 Hit Points instead.&lt;/p&gt;</t>
  </si>
  <si>
    <t>Heal 2 Hit Points</t>
  </si>
  <si>
    <t>Healing_Hands</t>
  </si>
  <si>
    <t>&lt;p&gt;Make a &lt;strong&gt;Spellcast Roll (13)&lt;/strong&gt; and target a creature other than yourself within Melee range.&lt;/p&gt;</t>
  </si>
  <si>
    <t>Heal One Hit Point</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</si>
  <si>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none"&gt;On a failure,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initial"&gt;mark a Stress&lt;/span&gt;&lt;span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clear a Hit Point or a Stress on the target. You canâ€™t heal the same target again until your next long rest.&lt;/span&gt;&lt;/p&gt;</t>
  </si>
  <si>
    <t>Heal One Stress</t>
  </si>
  <si>
    <t>Heal Two Hit Points</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</si>
  <si>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none"&gt;On a success,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initial"&gt;mark a Stress&lt;/span&gt;&lt;span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clear 2 Hit Points or 2 Stress on the target. You canâ€™t heal the same target again until your next long rest.&lt;/span&gt;&lt;/p&gt;</t>
  </si>
  <si>
    <t>Heal Two Stress</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</si>
  <si>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none"&gt;On a success,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initial"&gt;mark a Stress&lt;/span&gt;&lt;span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clear 2 Hit Points or 2 Stress on the target.  You canâ€™t heal the same target again until your next long rest.&lt;/span&gt;&lt;/p&gt;</t>
  </si>
  <si>
    <t>Healing_Strike</t>
  </si>
  <si>
    <t>Clear Hit Point</t>
  </si>
  <si>
    <t>&lt;p&gt;When you deal damage to an adversary, you can &lt;strong&gt;spend 2 Hope&lt;/strong&gt; to clear a Hit Point on an ally within Close range.&lt;/p&gt;&lt;p&gt;&lt;/p&gt;</t>
  </si>
  <si>
    <t>Hold_the_Line</t>
  </si>
  <si>
    <t>Restrain</t>
  </si>
  <si>
    <t>&lt;p class="Body-Foundation"&gt;If an adversary moves within Very Close range, theyâ€™re pulled into Melee range and &lt;em&gt;Restrained.&lt;/em&gt;&lt;/p&gt;</t>
  </si>
  <si>
    <t>&lt;p class="Body-Foundation"&gt;Describe the defensive stance you take and &lt;strong&gt;spend a Hope&lt;/strong&gt;. If an adversary moves within Very Close range, theyâ€™re pulled into Melee range and &lt;em&gt;Restrained.&lt;/em&gt;&lt;/p&gt;&lt;p class="Body-Foundation"&gt;This condition lasts until you move or fail a roll with Fear, or the GM spends 2 Fear on their turn to clear it.&lt;/p&gt;</t>
  </si>
  <si>
    <t>Hush</t>
  </si>
  <si>
    <t>&lt;p class="Body-Foundation"&gt;Make a &lt;strong&gt;Spellcast Roll&lt;/strong&gt; against a target within Close range. On a success, &lt;strong&gt;spend a Hope&lt;/strong&gt; to conjure suppressive magic around the target that encompasses everything within Very Close range of them and follows them as they move.&lt;/p&gt;&lt;p class="Body-Foundation"&gt;The target and anything within the area is &lt;em&gt;Silenced &lt;/em&gt;until the GM spends a Fear on their turn to clear this condition, you cast Hush again, or you take Major damage. While &lt;em&gt;Silenced&lt;/em&gt;, they canâ€™t make noise and canâ€™t cast spells.&lt;/p&gt;</t>
  </si>
  <si>
    <t>Hypnotic_Shimmer</t>
  </si>
  <si>
    <t>&lt;p&gt;Make a &lt;strong&gt;Spellcast Roll&lt;/strong&gt; against all adversaries in front of you within Close range. Once per rest on a success, create an illusion of flashing colors and lights that temporarily &lt;em&gt;Stuns&lt;/em&gt; targets you succeed against and forces them to mark a Stress. While &lt;em&gt;Stunned&lt;/em&gt;, they canâ€™t use reactions and canâ€™t take any other actions until they clear this condition.&lt;/p&gt;</t>
  </si>
  <si>
    <t>I_Am_Your_Shield</t>
  </si>
  <si>
    <t>&lt;p class="Body-Foundation"&gt;When an ally within Very Close range would take damage, you can &lt;strong&gt;mark a Stress&lt;/strong&gt; to stand in the way and make yourself the target of the attack instead. When you take damage from this attack, you can mark any number of Armor Slots.&lt;/p&gt;</t>
  </si>
  <si>
    <t>I_See_It_Coming</t>
  </si>
  <si>
    <t>Roll d4</t>
  </si>
  <si>
    <t>&lt;p class="Body-Foundation"&gt;When youâ€™re targeted by an attack made from beyond Melee range, you can &lt;strong&gt;mark a Stress&lt;/strong&gt; to roll a &lt;strong&gt;d4&lt;/strong&gt; and gain a bonus to your Evasion equal to the result against the attack.&lt;/p&gt;</t>
  </si>
  <si>
    <t>Inspirational_Words</t>
  </si>
  <si>
    <t>Clear Hitpoint</t>
  </si>
  <si>
    <t>&lt;p&gt;Spend a token from this card to give them the following:&lt;/p&gt;&lt;ul class=""&gt;&lt;li class="vertical-card-list-found"&gt;&lt;p&gt;&lt;span style="box-sizing: border-box; margin: 0px; scrollbar-width: thin; scrollbar-color: rgb(93, 20, 43) rgba(0, 0, 0, 0); font-family: Montserrat, sans-serif"&gt;Your ally clears a Hit Point.&lt;/span&gt;&lt;/p&gt;&lt;/li&gt;&lt;/ul&gt;</t>
  </si>
  <si>
    <t>&lt;p class="Body-Foundation-No-BOLDITALIC"&gt;Spend a token from this card to give them the following:&lt;/p&gt;&lt;ul class=""&gt;&lt;li class="vertical-card-list-found"&gt;&lt;p&gt;Your ally clears a Stress.&lt;/p&gt;&lt;/li&gt;&lt;/ul&gt;</t>
  </si>
  <si>
    <t>Give Hope</t>
  </si>
  <si>
    <t>&lt;p&gt;Spend a token from this card to give them the following:&lt;/p&gt;&lt;ul class=""&gt;&lt;li class="vertical-card-list-found"&gt;&lt;p&gt;&lt;span style="box-sizing: border-box; margin: 0px; scrollbar-width: thin; scrollbar-color: rgb(93, 20, 43) rgba(0, 0, 0, 0); font-family: Montserrat, sans-serif"&gt;Your ally gains a Hope.&lt;/span&gt;&lt;/p&gt;&lt;/li&gt;&lt;/ul&gt;</t>
  </si>
  <si>
    <t>Invigoration</t>
  </si>
  <si>
    <t>Roll Dice Pool</t>
  </si>
  <si>
    <t>&lt;p&gt;When you or an ally within Close range has used a feature that has an exhaustion limit (such as once per rest or once per session), you can &lt;strong&gt;spend any number of Hope&lt;/strong&gt; and roll that many &lt;strong&gt;d6s&lt;/strong&gt;. If any roll a 6, the feature can be used again.&lt;/p&gt;</t>
  </si>
  <si>
    <t>Invisibility</t>
  </si>
  <si>
    <t>&lt;p class="Body-Foundation"&gt;Make a &lt;strong&gt;Spellcast Roll (10)&lt;/strong&gt;. On a success, &lt;strong&gt;mark a Stress&lt;/strong&gt; and choose yourself or an ally within Melee range to become &lt;em&gt;Invisible&lt;/em&gt;. An &lt;em&gt;Invisible&lt;/em&gt; creature canâ€™t be seen except through magical means and attack rolls against them are made with disadvantage. Place a number of tokens on this card equal to your Spellcast trait. When the &lt;em&gt;Invisible&lt;/em&gt; creature takes an action, spend a token from this card. After the action that spends the last token is resolved, the effect ends.&lt;/p&gt;&lt;p class="Body-Foundation"&gt;You can only hold Invisibility on one creature at a time.&lt;/p&gt;</t>
  </si>
  <si>
    <t>Know_Thy_Enemy</t>
  </si>
  <si>
    <t>Instinct Roll</t>
  </si>
  <si>
    <t>&lt;p class="Body-Foundation-No-BOLDITALIC"&gt;When observing a creature, you can make an &lt;strong&gt;Instinct Roll&lt;/strong&gt; against them. On a success, &lt;strong&gt;spend a Hope&lt;/strong&gt; and ask the GM for one set of information about the target from the following options:&lt;/p&gt;&lt;ul class=""&gt;&lt;li class="vertical-card-list-found"&gt;&lt;p&gt;Their unmarked Hit Points and Stress.&lt;/p&gt;&lt;/li&gt;&lt;li class="vertical-card-list-found"&gt;&lt;p&gt;Their Difficulty and damage thresholds.&lt;/p&gt;&lt;/li&gt;&lt;li class="vertical-card-list-found"&gt;Their tactics and standard attack damage dice.&lt;/li&gt;&lt;li class="vertical-card-list-found"&gt;&lt;p&gt;Their features and Experiences.&lt;/p&gt;&lt;/li&gt;&lt;/ul&gt;</t>
  </si>
  <si>
    <t>&lt;p&gt;On a success, you can &lt;strong&gt;mark a Stress&lt;/strong&gt; to remove a Fear from the GMâ€™s Fear Pool.&lt;/p&gt;</t>
  </si>
  <si>
    <t>Lead_by_Example</t>
  </si>
  <si>
    <t>&lt;p class="Body-Foundation"&gt;When you deal damage to an adversary, you can &lt;strong&gt;mark a Stress&lt;/strong&gt; and describe how you encourage your allies. The next PC to make an attack against that adversary can clear a Stress or gain a Hope.&lt;/p&gt;</t>
  </si>
  <si>
    <t>Lean_on_Me</t>
  </si>
  <si>
    <t>Healing</t>
  </si>
  <si>
    <t>&lt;p class="Body-Foundation"&gt;Once per long rest, when you console or inspire an ally who failed an action roll, you can both clear 2 Stress.&lt;/p&gt;</t>
  </si>
  <si>
    <t>Life_Ward</t>
  </si>
  <si>
    <t>Mark with Sigil</t>
  </si>
  <si>
    <t>&lt;p&gt;&lt;strong&gt;Spend 3 Hope&lt;/strong&gt; and choose an ally within Close range. They are marked with a glowing sigil of protection. When this ally would make a death move, they clear a Hit Point instead.&lt;/p&gt;&lt;p class="Body-Foundation"&gt;This effect ends when it saves the target from a death move, you cast Life Ward on another target, or you take a long rest.&lt;/p&gt;</t>
  </si>
  <si>
    <t>Manifest_Wall</t>
  </si>
  <si>
    <t>&lt;p class="Body-Foundation"&gt;Make a &lt;strong&gt;Spellcast Roll (15)&lt;/strong&gt;. Once per rest on a success, &lt;strong&gt;spend a Hope&lt;/strong&gt; to create a temporary magical wall between two points within Far range. It can be up to 50 feet high and form at any angle. Creatures or objects in its path are shunted to a side of your choice. The wall stays up until your next rest or you cast Manifest Wall again.&lt;/p&gt;&lt;p&gt;@Template[type:ray|range:f]&lt;/p&gt;</t>
  </si>
  <si>
    <t>Mass_Disguise</t>
  </si>
  <si>
    <t>&lt;p&gt;When you have a few minutes of silence to focus, you can &lt;strong&gt;mark a Stress&lt;/strong&gt; to change the appearance of all willing creatures within Close range. Their new forms must share a general body structure and size, and can be somebody or something youâ€™ve seen before or entirely fabricated. A disguised creature has advantage on Presence Rolls to avoid scrutiny.&lt;/p&gt;&lt;p class="Body-Foundation"&gt;Activate a Countdown (8). It ticks down as a consequence the GM chooses. When it triggers, the disguise drops.&lt;/p&gt;</t>
  </si>
  <si>
    <t>Mass_Enrapture</t>
  </si>
  <si>
    <t>&lt;p class="Body-Foundation"&gt;Make a &lt;strong&gt;Spellcast Roll&lt;/strong&gt; against all targets within Far range. Targets you succeed against become temporarily &lt;em&gt;Enraptured&lt;/em&gt;. While &lt;em&gt;Enraptured&lt;/em&gt;, a targetâ€™s attention is fixed on you, narrowing their field of view and drowning out any sound but your voice. &lt;strong&gt;Mark a Stress&lt;/strong&gt; to force all &lt;em&gt;Enraptured&lt;/em&gt; targets to mark a Stress, ending this spell.&lt;/p&gt;&lt;p&gt;@Template[type:emanation|range:f]&lt;/p&gt;</t>
  </si>
  <si>
    <t>&lt;p&gt;&lt;strong&gt;Mark a Stress&lt;/strong&gt; to force all &lt;em&gt;Enraptured&lt;/em&gt; targets to mark a Stress, ending this spell.&lt;/p&gt;</t>
  </si>
  <si>
    <t>Mending_Touch</t>
  </si>
  <si>
    <t>Heal One Hitpoint</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</si>
  <si>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none"&gt;When you can take a few minutes to focus on the target youâ€™re helping, you can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initial"&gt;spend 2 Hope&lt;/span&gt;&lt;span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clear a Hit Point or a Stress on them.&lt;/span&gt;&lt;/p&gt;</t>
  </si>
  <si>
    <t>Unleash a storm of force. Heal One Stress. Spend 2 Hope to deal d6 damage</t>
  </si>
  <si>
    <t>&lt;p&gt;When you can take a few minutes to focus on the target youâ€™re helping, you can &lt;strong&gt;spend 2 Hope&lt;/strong&gt; to clear a Hit Point or a Stress on them.&lt;/p&gt;&lt;p class="Body-Foundation"&gt;Once per long rest, when you spend this healing time learning something new about them or revealing something about yourself, you can clear 2 Hit Points or 2 Stress on them instead.&lt;/p&gt;</t>
  </si>
  <si>
    <t>Midnight_Spirit</t>
  </si>
  <si>
    <t>Attack Adversary</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</si>
  <si>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none"&gt;You can also send it to attack an adversary. When you do, make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0);"&gt;Spellcast Roll&lt;/strong&gt;&lt;/span&gt;&lt;span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against a target within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initial"&gt;Very Far&lt;/span&gt;&lt;span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range. On a success, the spirit moves into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initial"&gt;Melee&lt;/span&gt;&lt;span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range with that target. Roll a number of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initial"&gt;d6s&lt;/span&gt;&lt;span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equal to your Spellcast trait and deal that much magic damage to the target. The spirit then dissipates. You can only have one spirit at a time.&lt;/span&gt;&lt;/p&gt;</t>
  </si>
  <si>
    <t>Summon Spirit</t>
  </si>
  <si>
    <t>&lt;p&gt;&lt;span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initial"&gt;Spend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0);"&gt;Hope&lt;/strong&gt;&lt;/span&gt;&lt;span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summon a humanoid-sized spirit that can move or carry things for you until your next rest.&lt;/span&gt;&lt;/p&gt;</t>
  </si>
  <si>
    <t>Midnight_Touched</t>
  </si>
  <si>
    <t>&lt;p&gt;&lt;span class="vertical-card-list-found" style="box-sizing: border-box; margin: 0px 0px 0.25rem; scrollbar-width: thin; scrollbar-color: rgb(93, 20, 43) rgba(0, 0, 0, 0); font-family: Montserrat, sans-serif"&gt;Once per rest, when you have 0 Hope and the GM would gain a Fear, you can gain a Hope instead.&lt;/span&gt;&lt;/p&gt;</t>
  </si>
  <si>
    <t>&lt;p&gt;&lt;span class="vertical-card-list-found" style="box-sizing: border-box; margin: 0px 0px 0.25rem; scrollbar-width: thin; scrollbar-color: rgb(93, 20, 43) rgba(0, 0, 0, 0); font-family: Montserrat, sans-serif"&gt;When you make a successful attack, you can &lt;strong style="box-sizing: border-box; scrollbar-width: thin; scrollbar-color: rgb(93, 20, 43) rgba(0, 0, 0, 0);"&gt;mark a Stress&lt;/strong&gt; to add the result of your Fear Die to your damage roll.&lt;/span&gt;&lt;/p&gt;</t>
  </si>
  <si>
    <t>Natural_Familiar</t>
  </si>
  <si>
    <t>Perform Task</t>
  </si>
  <si>
    <t>&lt;p&gt;You can communicate with them, make a &lt;strong&gt;Spellcast Roll&lt;/strong&gt; to command them to perform simple tasks.&lt;/p&gt;</t>
  </si>
  <si>
    <t>See Through Eyes</t>
  </si>
  <si>
    <t>&lt;p&gt;&lt;strong&gt;Mark a Stress&lt;/strong&gt; to see through their eyes.&lt;/p&gt;&lt;p class="Body-Foundation"&gt;&lt;/p&gt;</t>
  </si>
  <si>
    <t>Summon Familiar</t>
  </si>
  <si>
    <t>&lt;p&gt;&lt;strong&gt;Spend a Hope&lt;/strong&gt; to summon a small nature spirit or forest critter to your side until your next rest, you cast Natural Familiar again, or the familiar is targeted by an attack. If you &lt;strong&gt;spend an additional Hope&lt;/strong&gt;, you can summon a familiar that flies.&lt;/p&gt;</t>
  </si>
  <si>
    <t>Nature_s_Tongue</t>
  </si>
  <si>
    <t>Gain Bonus</t>
  </si>
  <si>
    <t>&lt;p&gt;Additionally, before you make a Spellcast Roll while within a natural environment, you can &lt;strong&gt;spend a Hope&lt;/strong&gt; to gain a +2 bonus to the roll.&lt;/p&gt;</t>
  </si>
  <si>
    <t>Speak with Nature</t>
  </si>
  <si>
    <t>&lt;p&gt;You can speak the language of the natural world. When you want to speak to the plants and animals around you, make an &lt;strong&gt;Instinct Roll (12)&lt;/strong&gt;. On a success, theyâ€™ll give you the information they know. On a roll with Fear, their knowledge might be limited or come at a cost.&lt;/p&gt;</t>
  </si>
  <si>
    <t>Never_Upstaged</t>
  </si>
  <si>
    <t>Mark Stress (1 token)</t>
  </si>
  <si>
    <t>&lt;p&gt;When you mark 1 or more Hit Points from an attack, you can &lt;strong&gt;mark a Stress&lt;/strong&gt; to place a number of tokens equal to the number of Hit Points you marked on this card. On your next successful attack, gain a +5 bonus to your damage roll for each token on this card, then clear all tokens.&lt;/p&gt;</t>
  </si>
  <si>
    <t>Mark Stress (2 tokens)</t>
  </si>
  <si>
    <t>Mark Stress (3 tokens)</t>
  </si>
  <si>
    <t>Mark Stress (4 tokens)</t>
  </si>
  <si>
    <t>Night_Terror</t>
  </si>
  <si>
    <t>Horrify</t>
  </si>
  <si>
    <t>&lt;p class="Body-Foundation"&gt;Once per long rest, choose any targets within Very Close range to perceive you as a nightmarish horror. The targets must succeed on a Reaction Roll (16) or become temporarily &lt;em&gt;Horrified&lt;/em&gt;. While &lt;em&gt;Horrified&lt;/em&gt;, theyâ€™re &lt;em&gt;Vulnerable&lt;/em&gt;. Steal a number of Fear from the GM equal to the number of targets that are &lt;em&gt;Horrified&lt;/em&gt; (up to the number of Fear in the GMâ€™s pool). Roll a number of &lt;strong&gt;d6s&lt;/strong&gt; equal to the number of stolen Fear and deal the total damage to each &lt;em&gt;Horrified&lt;/em&gt; target. Discard the stolen Fear.&lt;/p&gt;&lt;p&gt;@Template[type:emanation|range:vc]&lt;/p&gt;</t>
  </si>
  <si>
    <t>Steal Fear</t>
  </si>
  <si>
    <t>&lt;p&gt;&lt;span style="color: rgb(239, 230, 216); font-family: Signika, &amp;#x27;Palatino Linotype&amp;#x27;,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none"&gt;Steal a number of Fear from the GM equal to the number of targets that are &lt;/span&gt;&lt;span style="box-sizing: border-box; scrollbar-width: thin; scrollbar-color: rgb(93, 20, 43) rgba(0, 0, 0, 0); color: rgb(239, 230, 216); font-family: Signika, &amp;#x27;Palatino Linotype&amp;#x27;, sans-serif; font-size: 14px;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initial"&gt;Horrified&lt;/span&gt;&lt;span style="color: rgb(239, 230, 216); font-family: Signika, &amp;#x27;Palatino Linotype&amp;#x27;,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(up to the number of Fear in the GMâ€™s pool). Roll a number of &lt;/span&gt;&lt;span style="box-sizing: border-box; scrollbar-width: thin; scrollbar-color: rgb(93, 20, 43) rgba(0, 0, 0, 0); color: rgb(239, 230, 216); font-family: Signika, &amp;#x27;Palatino Linotype&amp;#x27;,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initial"&gt;d6s&lt;/span&gt;&lt;span style="color: rgb(239, 230, 216); font-family: Signika, &amp;#x27;Palatino Linotype&amp;#x27;,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equal to the number of stolen Fear and deal the total damage to each &lt;/span&gt;&lt;span style="box-sizing: border-box; scrollbar-width: thin; scrollbar-color: rgb(93, 20, 43) rgba(0, 0, 0, 0); color: rgb(239, 230, 216); font-family: Signika, &amp;#x27;Palatino Linotype&amp;#x27;, sans-serif; font-size: 14px;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initial"&gt;Horrified&lt;/span&gt;&lt;span style="color: rgb(239, 230, 216); font-family: Signika, &amp;#x27;Palatino Linotype&amp;#x27;,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target. Discard the stolen Fear.&lt;/span&gt;&lt;/p&gt;</t>
  </si>
  <si>
    <t>Notorious</t>
  </si>
  <si>
    <t>&lt;p class="Body-Foundation"&gt;When you leverage your notoriety to get what you want, you can &lt;strong&gt;mark a Stress&lt;/strong&gt; before you roll to gain a +10 bonus to the result. &lt;/p&gt;&lt;p class="Body-Foundation"&gt;This card doesnâ€™t count against your loadoutâ€™s domain card maximum of 5 and canâ€™t be placed in your vault.&lt;/p&gt;</t>
  </si>
  <si>
    <t>Onslaught</t>
  </si>
  <si>
    <t>&lt;p class="Body-Foundation"&gt;When you successfully make an attack with your weapon, you never deal damage beneath a targetâ€™s Major damage threshold (the target always marks a minimum of 2 Hit Points).&lt;/p&gt;&lt;p class="Body-Foundation"&gt;Additionally, when a creature within your weaponâ€™s range deals damage to an ally with an attack that doesnâ€™t include you, you can &lt;strong&gt;mark a Stress&lt;/strong&gt; to force them to make a Reaction Roll (15). On a failure, the target must mark a Hit Point.&lt;/p&gt;</t>
  </si>
  <si>
    <t>Overwhelming_Aura</t>
  </si>
  <si>
    <t>&lt;p&gt;&lt;span class="Body-Foundation" style="box-sizing: border-box; margin: 0px; scrollbar-width: thin; scrollbar-color: rgb(93, 20, 43) rgba(0, 0, 0, 0); font-family: Montserrat, sans-serif; color: rgb(239, 230, 216);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initial"&gt;Make a &lt;strong style="box-sizing: border-box; scrollbar-width: thin; scrollbar-color: rgb(93, 20, 43) rgba(0, 0, 0, 0);"&gt;Spellcast Roll (15)&lt;/strong&gt; to magically empower your aura. On a success, &lt;strong style="box-sizing: border-box; scrollbar-width: thin; scrollbar-color: rgb(93, 20, 43) rgba(0, 0, 0, 0);"&gt;spend 2 Hope&lt;/strong&gt; to make your Presence equal to your Spellcast trait until your next long rest.While this spell is active, an adversary must mark a Stress when they target you with an attack.&lt;/span&gt;&lt;/p&gt;</t>
  </si>
  <si>
    <t>Phantom_Retreat</t>
  </si>
  <si>
    <t>&lt;p&gt;&lt;span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initial"&gt;Spend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0);"&gt;Hope&lt;/strong&gt;&lt;/span&gt;&lt;span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activate Phantom Retreat where youâ€™re currently standing.&lt;/span&gt;&lt;/p&gt;</t>
  </si>
  <si>
    <t>Retreat</t>
  </si>
  <si>
    <t>&lt;p&gt;&lt;strong&gt;Spend another Hope&lt;/strong&gt; at any time before your next rest to disappear from where you are and reappear where you were standing when you activated Phantom Retreat. This spell ends after you reappear.&lt;/p&gt;&lt;p&gt;&lt;/p&gt;</t>
  </si>
  <si>
    <t>Plant_Dominion</t>
  </si>
  <si>
    <t>Reshape Natural World</t>
  </si>
  <si>
    <t>&lt;p class="Body-Foundation"&gt;Make a &lt;strong&gt;Spellcast Roll (18)&lt;/strong&gt;. Once per long rest on a success, you reshape the natural world, changing the surrounding plant life anywhere within Far range of you. For example, you can grow trees instantly, clear a path through dense vines, or create a wall of roots.&lt;/p&gt;</t>
  </si>
  <si>
    <t>Premonition</t>
  </si>
  <si>
    <t>Rescind Move</t>
  </si>
  <si>
    <t>&lt;p&gt;Once per long rest, immediately after the GM conveys the consequences of a roll you made, you can rescind the move and consequences like they never happened and make another move instead.&lt;/p&gt;</t>
  </si>
  <si>
    <t>Preservation_Blast</t>
  </si>
  <si>
    <t>&lt;p&gt;Make a &lt;strong&gt;Spellcast Roll&lt;/strong&gt; against all targets within Melee range. Targets you succeed against are forced back to Far range and take &lt;strong&gt;d8+3&lt;/strong&gt; magic damage using your Spellcast trait.&lt;/p&gt;</t>
  </si>
  <si>
    <t>Rage_Up</t>
  </si>
  <si>
    <t>Barrel in like a raging bull. Mark 1 Stress. Mark 1 Stress</t>
  </si>
  <si>
    <t>Mark 2 Stress</t>
  </si>
  <si>
    <t>Slip in a cutting remark. Mark 2 Stress. Mark 2 Stress</t>
  </si>
  <si>
    <t>Rain_of_Blades</t>
  </si>
  <si>
    <t>&lt;p&gt;&lt;span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initial"&gt;Spend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0);"&gt;Hope&lt;/strong&gt;&lt;/span&gt;&lt;span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make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0);"&gt;Spellcast Roll&lt;/strong&gt;&lt;/span&gt;&lt;span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and conjure throwing blades that strike out at all targets within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initial"&gt;Very Close&lt;/span&gt;&lt;span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range.Â &lt;/span&gt;&lt;span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none"&gt;Targets you succeed against take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initial"&gt;d8+2&lt;/span&gt;&lt;span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magic damage using your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initial"&gt;Proficiency&lt;/span&gt;&lt;span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none"&gt;.&lt;/span&gt;&lt;/p&gt;</t>
  </si>
  <si>
    <t>Damage Against Vulnerable</t>
  </si>
  <si>
    <t>&lt;p&gt;If a target you hit is &lt;em&gt;Vulnerable&lt;/em&gt;, they take an extra &lt;strong&gt;1d8&lt;/strong&gt; damage.&lt;/p&gt;</t>
  </si>
  <si>
    <t>Rapid_Riposte</t>
  </si>
  <si>
    <t>&lt;p class="Body-Foundation"&gt;When an attack made against you from within Melee range fails, you can &lt;strong&gt;mark a Stress&lt;/strong&gt; and seize the opportunity to deal the weapon damage of one of your active weapons to the attacker.&lt;/p&gt;</t>
  </si>
  <si>
    <t>Reaper_s_Strike</t>
  </si>
  <si>
    <t>&lt;p class="Body-Foundation"&gt;Once per long rest, &lt;strong&gt;spend a Hope&lt;/strong&gt; to make an attack roll. The GM tells you which targets within range it would succeed against. Choose one of these targets and force them to mark 5 Hit Points.&lt;/p&gt;</t>
  </si>
  <si>
    <t>Reassurance</t>
  </si>
  <si>
    <t>Reassure</t>
  </si>
  <si>
    <t>&lt;p&gt;Once per rest, after an ally attempts an action roll but before the consequences take place, you can offer assistance or words of support. When you do, your ally can reroll their dice.&lt;/p&gt;</t>
  </si>
  <si>
    <t>Reckless</t>
  </si>
  <si>
    <t>&lt;p class="Body-Foundation"&gt;&lt;strong&gt;Mark a Stress&lt;/strong&gt; to gain advantage on an attack.&lt;/p&gt;</t>
  </si>
  <si>
    <t>Recovery</t>
  </si>
  <si>
    <t>&lt;p class="Body-Foundation"&gt;During a short rest, you can choose a long rest downtime move instead. You can &lt;strong&gt;spend a Hope&lt;/strong&gt; to let an ally do the same.&lt;/p&gt;</t>
  </si>
  <si>
    <t>Redirect</t>
  </si>
  <si>
    <t>&lt;p class="Body-Foundation"&gt;When an attack made against you from beyond Melee range fails, roll a number of &lt;strong&gt;d6s&lt;/strong&gt; equal to your Proficiency. If any roll a 6, you can &lt;strong&gt;mark a Stress&lt;/strong&gt; to redirect the attack to damage an adversary within Very Close range instead.&lt;/p&gt;</t>
  </si>
  <si>
    <t>Rejuvenation_Barrier</t>
  </si>
  <si>
    <t>&lt;p class="Body-Foundation"&gt;Make a &lt;strong&gt;Spellcast Roll (15)&lt;/strong&gt;. Once per rest on a success, create a temporary barrier of protective energy around you at Very Close range. You and all allies within the barrier when this spell is cast clear &lt;strong&gt;1d4&lt;/strong&gt; Hit Points. While the barrier is up, you and all allies within have resistance to physical damage from outside the barrier.&lt;/p&gt;&lt;p class="Body-Foundation"&gt;When you move, the barrier follows you.&lt;/p&gt;&lt;p&gt;@Template[type:emanation|range:vc]&lt;/p&gt;</t>
  </si>
  <si>
    <t>Restoration</t>
  </si>
  <si>
    <t>Heal Hitpoints</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</si>
  <si>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none"&gt;Touch a creature and spend any number of tokens to clear 2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initial"&gt;Hit Points&lt;/span&gt;&lt;span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or 2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initial"&gt;Stress&lt;/span&gt;&lt;span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for each token spent.&lt;/span&gt;&lt;/p&gt;</t>
  </si>
  <si>
    <t>Reduce Stress</t>
  </si>
  <si>
    <t>Remove Condition</t>
  </si>
  <si>
    <t>&lt;p&gt;You can also spend a token from this card when touching a creature to clear the &lt;em&gt;Vulnerable&lt;/em&gt; condition or heal a physical or magical ailment (the GM might require additional tokens depending on the strength of the ailment).&lt;/p&gt;</t>
  </si>
  <si>
    <t>Resurrection</t>
  </si>
  <si>
    <t>&lt;p&gt;&lt;span class="Body-Foundation" style="box-sizing: border-box; margin: 0px; scrollbar-width: thin; scrollbar-color: rgb(93, 20, 43) rgba(0, 0, 0, 0); font-family: Montserrat, sans-serif; color: rgb(239, 230, 216);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initial"&gt;Make a &lt;strong style="box-sizing: border-box; scrollbar-width: thin; scrollbar-color: rgb(93, 20, 43) rgba(0, 0, 0, 0);"&gt;Spellcast Roll (20)&lt;/strong&gt;. On a success, restore one creature who has been dead no longer than 100 years to full strength. &lt;/span&gt;&lt;/p&gt;</t>
  </si>
  <si>
    <t>Keep Card</t>
  </si>
  <si>
    <t>&lt;p&gt;&lt;span class="Body-Foundation" style="box-sizing: border-box; margin: 0px; scrollbar-width: thin; scrollbar-color: rgb(93, 20, 43) rgba(0, 0, 0, 0); font-family: Montserrat, sans-serif; color: rgb(239, 230, 216);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initial"&gt;Then roll a &lt;strong style="box-sizing: border-box; scrollbar-width: thin; scrollbar-color: rgb(93, 20, 43) rgba(0, 0, 0, 0);"&gt;d6&lt;/strong&gt;. On a result of 5 or lower, place this card in your vault permanently. On a failure, you canâ€™t cast Resurrection again for a week.&lt;/span&gt;&lt;/p&gt;</t>
  </si>
  <si>
    <t>Rift_Walker</t>
  </si>
  <si>
    <t>&lt;p&gt;Make a &lt;strong&gt;Spellcast Roll (15)&lt;/strong&gt;. On a success, you place an arcane marking on the ground where you currently stand. The next time you successfully cast Rift Walker, a rift in space opens up, providing safe passage back to the exact spot where the marking was placed. This rift stays open until you choose to close it or you cast another spell.&lt;/p&gt;&lt;p&gt;You can drop the spell at any time to cast Rift Walker again and place the marking somewhere new.&lt;/p&gt;</t>
  </si>
  <si>
    <t>Rise_Up</t>
  </si>
  <si>
    <t>&lt;p class="Body-Foundation"&gt;When you mark 1 or more Hit Points from an attack, clear a Stress.&lt;/p&gt;</t>
  </si>
  <si>
    <t>Rousing_Strike</t>
  </si>
  <si>
    <t>&lt;p class="Body-Foundation"&gt;Once per rest, when you critically succeed on an attack, you and all allies who can see or hear you can clear a Hit Point or &lt;strong&gt;1d4&lt;/strong&gt; Stress.&lt;/p&gt;</t>
  </si>
  <si>
    <t>Rune_Ward</t>
  </si>
  <si>
    <t>Reduce Damage</t>
  </si>
  <si>
    <t>&lt;p&gt; The wardâ€™s holder can spend a Hope to reduce incoming damage by &lt;strong&gt;1d8&lt;/strong&gt;.&lt;/p&gt;&lt;p class="Body-Foundation"&gt;If the Ward Die result is 8, the wardâ€™s power ends after it reduces damage this turn. It can be recharged for free on your next rest.&lt;/p&gt;</t>
  </si>
  <si>
    <t>Safe_Haven</t>
  </si>
  <si>
    <t>&lt;p class="Body-Foundation"&gt;When you have a few minutes of calm to focus, you can &lt;strong&gt;spend 2 Hope&lt;/strong&gt; to summon your Safe Haven, a large interdimensional home where you and your allies can take shelter. When you do, a magical door appears somewhere within Close range. Only creatures of your choice can enter. Once inside, you can make the entrance invisible. You and anyone else inside can always exit. Once you leave, the doorway must be summoned again.&lt;/p&gt;&lt;p class="Body-Foundation"&gt;When you take a rest within your own Safe Haven, you can choose an additional downtime move.&lt;/p&gt;</t>
  </si>
  <si>
    <t>Sage_Touched</t>
  </si>
  <si>
    <t>Double Agility</t>
  </si>
  <si>
    <t>&lt;p&gt;Once per rest, you can double your Agility or Instinct when making a roll that uses that trait. You must choose to do this before you roll.&lt;/p&gt;</t>
  </si>
  <si>
    <t>Double Instinct</t>
  </si>
  <si>
    <t>Salvation_Beam</t>
  </si>
  <si>
    <t>&lt;p&gt;Make a &lt;strong&gt;Spellcast Roll (16)&lt;/strong&gt;. On a success, &lt;strong&gt;mark any number of Stress&lt;/strong&gt; to target a line of allies within Far range. You can clear Hit Points on the targets equal to the number of Stress marked, divided among them however youâ€™d like.&lt;/p&gt;</t>
  </si>
  <si>
    <t>Scramble</t>
  </si>
  <si>
    <t>Avoid</t>
  </si>
  <si>
    <t>&lt;p class="Body-Foundation"&gt;Once per rest, when a creature within Melee range would deal damage to you, you can avoid the attack and safely move out of Melee range of the enemy.&lt;/p&gt;</t>
  </si>
  <si>
    <t>Second_Wind</t>
  </si>
  <si>
    <t>&lt;p&gt;Once per rest, when you succeed on an attack against an adversary, you can clear 3 Stress or a Hit Point. On a success with Hope, you also clear 3 Stress or a Hit Point on an ally within Close range of you.&lt;/p&gt;</t>
  </si>
  <si>
    <t>Clear Three Stress</t>
  </si>
  <si>
    <t>&lt;p class="Body-Foundation"&gt;Once per rest, when you succeed on an attack against an adversary, you can clear 3 Stress or a Hit Point. On a success with Hope, you also clear 3 Stress or a Hit Point on an ally within Close range of you.&lt;/p&gt;</t>
  </si>
  <si>
    <t>Sensory_Projection</t>
  </si>
  <si>
    <t>Spin up a burst of speed. Cast. trigger the effect</t>
  </si>
  <si>
    <t>Shadowbind</t>
  </si>
  <si>
    <t>&lt;p class="Body-Foundation"&gt;Make a &lt;strong&gt;Spellcast Roll&lt;/strong&gt; against all adversaries within Very Close range. Targets you succeed against are temporarily &lt;em&gt;Restrained&lt;/em&gt; as their shadow binds them in place.&lt;/p&gt;&lt;p&gt;@Template[type:emanation|range:vc]&lt;/p&gt;</t>
  </si>
  <si>
    <t>Shape_Material</t>
  </si>
  <si>
    <t>Shape</t>
  </si>
  <si>
    <t>&lt;p&gt;&lt;strong&gt;Spend a Hope&lt;/strong&gt; to shape a section of natural material youâ€™re touching (such as stone, ice, or wood) to suit your purpose. The area of the material can be no larger than you. For example, you can form a rudimentary tool or create a door.&lt;/p&gt;&lt;p class="Body-Foundation"&gt;You can only affect the material within Close range of where youâ€™re touching it.&lt;/p&gt;</t>
  </si>
  <si>
    <t>Share_the_Burden</t>
  </si>
  <si>
    <t>Take Stress</t>
  </si>
  <si>
    <t>&lt;p class="Body-Foundation"&gt;Once per rest, take on the Stress from a willing creature within Melee range. The target describes what intimate knowledge or emotions telepathically leak from their mind in this moment between you. Transfer any number of their marked Stress to you, then gain a Hope for each Stress transferred.&lt;/p&gt;</t>
  </si>
  <si>
    <t>Shield_Aura</t>
  </si>
  <si>
    <t>Cast Protective Aura</t>
  </si>
  <si>
    <t>&lt;p&gt;&lt;strong&gt;Mark a Stress&lt;/strong&gt; to cast a protective aura on a target within Very Close range. When the target marks an Armor Slot, they reduce the severity of the attack by an additional threshold. If this spell causes a creature who would be damaged to instead mark no Hit Points, the effect ends.&lt;/p&gt;&lt;p class="Body-Foundation"&gt;You can only hold Shield Aura on one creature at a time.&lt;/p&gt;</t>
  </si>
  <si>
    <t>Shrug_It_Off</t>
  </si>
  <si>
    <t>Roll d6</t>
  </si>
  <si>
    <t>&lt;p class="Body-Foundation"&gt;When you would take damage, you can &lt;strong&gt;mark a Stress&lt;/strong&gt; to reduce the severity of the damage by one threshold. When you do, roll a &lt;strong&gt;d6&lt;/strong&gt;. On a result of 3 or lower, place this card in your vault.&lt;/p&gt;</t>
  </si>
  <si>
    <t>Sigil_of_Retribution</t>
  </si>
  <si>
    <t>Mark</t>
  </si>
  <si>
    <t>&lt;p class="Body-Foundation"&gt;Mark an adversary within Close range with a sigil of retribution. The GM gains a Fear. When the marked adversary deals damage to you or your allies, place a &lt;strong&gt;d8&lt;/strong&gt; on this card. You can hold a number of &lt;strong&gt;d8s&lt;/strong&gt; equal to your level. When you successfully attack the marked adversary, roll the dice on this card and add the total to your damage roll, then clear the dice. This effect ends when the marked adversary is defeated or you cast Sigil of Retribution again.&lt;/p&gt;</t>
  </si>
  <si>
    <t>Smite</t>
  </si>
  <si>
    <t>Charge Smite</t>
  </si>
  <si>
    <t>&lt;p&gt;Once per rest, &lt;strong&gt;spend 3 Hope&lt;/strong&gt; to charge your powerful smite. When you next successfully attack with a weapon, double the result of your damage roll. This attack deals magic damage regardless of the weaponâ€™s damage type.&lt;/p&gt;</t>
  </si>
  <si>
    <t>Soothing_Speech</t>
  </si>
  <si>
    <t>Heal Another</t>
  </si>
  <si>
    <t>&lt;p&gt;During a short rest, when you take the time to comfort another character while using the Tend to Wounds downtime move on them, clear an additional Hit Point on that character.&lt;/p&gt;</t>
  </si>
  <si>
    <t>Heal Self</t>
  </si>
  <si>
    <t>&lt;p&gt;When you do, you also clear 2 Hit Points.&lt;/p&gt;</t>
  </si>
  <si>
    <t>Specter_of_the_Dark</t>
  </si>
  <si>
    <t>Become Spectral</t>
  </si>
  <si>
    <t>&lt;p&gt;&lt;span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initial"&gt;Mark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0);"&gt;Stress&lt;/strong&gt;&lt;/span&gt;&lt;span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become &lt;/span&gt;&lt;span style="box-sizing: border-box; scrollbar-width: thin; scrollbar-color: rgb(93, 20, 43) rgba(0, 0, 0, 0); color: rgb(239, 230, 216); font-family: Montserrat, sans-serif; font-size: 14px;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initial"&gt;Spectral &lt;/span&gt;&lt;span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none"&gt;until you make an action roll targeting another creature. While &lt;/span&gt;&lt;span style="box-sizing: border-box; scrollbar-width: thin; scrollbar-color: rgb(93, 20, 43) rgba(0, 0, 0, 0); color: rgb(239, 230, 216); font-family: Montserrat, sans-serif; font-size: 14px;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initial"&gt;Spectral&lt;/span&gt;&lt;span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youâ€™re immune to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initial"&gt;physical&lt;/span&gt;&lt;span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damage and can float and pass through solid objects. Other creatures can still see you while youâ€™re in this form.&lt;/span&gt;&lt;/p&gt;</t>
  </si>
  <si>
    <t>Spellcharge</t>
  </si>
  <si>
    <t>Spend Tokens</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</si>
  <si>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none"&gt;When you make a successful attack against a target, you can spend any number of tokens to add a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initial"&gt;d6&lt;/span&gt;&lt;span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for each token spent to your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initial"&gt;damage roll&lt;/span&gt;&lt;span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none"&gt;.&lt;/span&gt;&lt;/p&gt;</t>
  </si>
  <si>
    <t>Splintering_Strike</t>
  </si>
  <si>
    <t>&lt;p class="Body-Foundation"&gt;&lt;strong&gt;Spend a Hope&lt;/strong&gt; and make an attack against all adversaries within your weaponâ€™s range. Once per long rest, on a success against any targets, add up the damage dealt, then redistribute that damage however you wish between the targets you succeeded against. When you deal damage to a target, roll an additional damage die and add its result to the damage you deal to that target.&lt;/p&gt;</t>
  </si>
  <si>
    <t>Stealth_Expertise</t>
  </si>
  <si>
    <t>Change Fear to Hope</t>
  </si>
  <si>
    <t>Deliver a clean blow. Mark 1 Stress to range close</t>
  </si>
  <si>
    <t>Strategic_Approach</t>
  </si>
  <si>
    <t>&lt;p class="Body-Foundation"&gt;The first time you move within Close range of an adversary and make an attack against them, you can spend one token to choose one of the following options:&lt;/p&gt;&lt;ul class=""&gt;&lt;li class="vertical-card-list-found"&gt;&lt;p&gt;You make the attack with advantage.&lt;/p&gt;&lt;/li&gt;&lt;li class="vertical-card-list-found"&gt;&lt;p&gt;You clear a Stress on an ally within Melee range of the adversary.&lt;/p&gt;&lt;/li&gt;&lt;li class="vertical-card-list-found"&gt;&lt;p&gt;You add a &lt;strong&gt;d8&lt;/strong&gt; to your damage roll.&lt;/p&gt;&lt;/li&gt;&lt;/ul&gt;</t>
  </si>
  <si>
    <t>Stunning_Sunlight</t>
  </si>
  <si>
    <t>&lt;p&gt;Make a &lt;strong&gt;Spellcast Roll&lt;/strong&gt; to unleash powerful rays of burning sunlight against all adversaries in front of you within Far range. On a success, &lt;strong&gt;spend any number of Hope&lt;/strong&gt; and force that many targets you succeeded against to make a Reaction Roll (14).&lt;/p&gt;&lt;p class="Body-Foundation"&gt;Targets who succeed take &lt;strong&gt;3d20+3&lt;/strong&gt; magic damage. Targets who fail take &lt;strong&gt;4d20+5&lt;/strong&gt; magic damage and are temporarily &lt;em&gt;Stunned&lt;/em&gt;. While &lt;em&gt;Stunned&lt;/em&gt;, they canâ€™t use reactions and canâ€™t take any other actions until they clear this condition.&lt;/p&gt;</t>
  </si>
  <si>
    <t>Damage on Successful Save</t>
  </si>
  <si>
    <t>&lt;p class="Body-Foundation"&gt;Targets who succeed take &lt;strong&gt;3d20+3&lt;/strong&gt; magic damage. &lt;/p&gt;</t>
  </si>
  <si>
    <t>Support_Tank</t>
  </si>
  <si>
    <t>&lt;p class="Body-Foundation"&gt;When an ally within Close range fails a roll, you can &lt;strong&gt;spend 2 Hope&lt;/strong&gt; to allow them to reroll either their Hope or Fear Die.&lt;/p&gt;</t>
  </si>
  <si>
    <t>Swift_Step</t>
  </si>
  <si>
    <t>&lt;p class="Body-Foundation"&gt;When an attack made against you fails, clear a Stress. If you canâ€™t clear a Stress, gain a Hope.&lt;/p&gt;</t>
  </si>
  <si>
    <t>Telekinesis</t>
  </si>
  <si>
    <t>Move Target</t>
  </si>
  <si>
    <t>&lt;p&gt;Make a &lt;strong&gt;Spellcast Roll&lt;/strong&gt; against a target within Far range. On a success, you can use your mind to move them anywhere within Far range of their original position.&lt;/p&gt;</t>
  </si>
  <si>
    <t>Throw Target</t>
  </si>
  <si>
    <t>&lt;p&gt;You can throw the lifted target as an attack by making an additional Spellcast Roll against the second target youâ€™re trying to attack. On a success, deal&lt;strong&gt; d12+4&lt;/strong&gt; physical damage to the second target using your Proficiency. This spell then ends.&lt;/p&gt;</t>
  </si>
  <si>
    <t>&lt;p class="Body-Foundation"&gt;Once per long rest, you can instantly teleport yourself and any number of willing targets within Close range to a place youâ€™ve been before. Choose one of the following options, then make a &lt;strong&gt;Spellcast Roll (16)&lt;/strong&gt;:&lt;/p&gt;&lt;ul class=""&gt;&lt;li class="vertical-card-list"&gt;If you know the place very well, gain a +3 bonus.&lt;/li&gt;&lt;li class="vertical-card-list"&gt;If youâ€™ve visited the place frequently, gain a +1 bonus.&lt;/li&gt;&lt;li class="vertical-card-list"&gt;If youâ€™ve visited the place infrequently, gain no modifier.&lt;/li&gt;&lt;li class="vertical-card-list"&gt;If youâ€™ve only been there once, gain a âˆ’2 penalty.&lt;/li&gt;&lt;/ul&gt;&lt;p class="Body-Foundation"&gt;On a success, you appear where you were intending to go. On a failure, you appear off course, with the range of failure determining how far off course.&lt;/p&gt;</t>
  </si>
  <si>
    <t>Tell_No_Lies</t>
  </si>
  <si>
    <t>&lt;p&gt;Make a &lt;strong&gt;Spellcast Roll &lt;/strong&gt;against a target within Very Close range. On a success, they canâ€™t lie to you while they remain within Close range, but they are not compelled to speak. If you ask them a question and they refuse to answer, they must mark a Stress and the effect ends. The target is typically unaware this spell has been cast on them until it causes them to utter the truth.&lt;/p&gt;</t>
  </si>
  <si>
    <t>Tempest</t>
  </si>
  <si>
    <t>Blizzard</t>
  </si>
  <si>
    <t>&lt;p class="Body-Foundation-No-BOLDITALIC"&gt;Choose the following tempest and make a &lt;strong&gt;Spellcast Roll&lt;/strong&gt; against all targets within Far range. Targets you succeed against experience its effects until the GM spends a Fear on their turn to end this spell.&lt;/p&gt;&lt;ul class=""&gt;&lt;li class="vertical-card-list"&gt;&lt;p&gt;&lt;em&gt;&lt;strong&gt;Blizzard:&lt;/strong&gt;&lt;/em&gt; Deal &lt;strong&gt;2d20+8&lt;/strong&gt; magic damage and targets are temporarily &lt;em&gt;Vulnerable&lt;/em&gt;.&lt;/p&gt;&lt;p&gt;&lt;/p&gt;&lt;/li&gt;&lt;/ul&gt;</t>
  </si>
  <si>
    <t>Hurricane</t>
  </si>
  <si>
    <t>&lt;p class="Body-Foundation-No-BOLDITALIC"&gt;Choose the following tempest and make a &lt;strong&gt;Spellcast Roll&lt;/strong&gt; against all targets within Far range. Targets you succeed against experience its effects until the GM spends a Fear on their turn to end this spell.&lt;/p&gt;&lt;ul class=""&gt;&lt;li class="vertical-card-list"&gt;&lt;em&gt;&lt;strong&gt;Hurricane: &lt;/strong&gt;&lt;/em&gt;Deal &lt;strong&gt;3d10+10&lt;/strong&gt; magic damage and choose a direction the wind is blowing. Targets canâ€™t move against the wind.&lt;/li&gt;&lt;/ul&gt;</t>
  </si>
  <si>
    <t>Sandstorm</t>
  </si>
  <si>
    <t>&lt;p class="Body-Foundation-No-BOLDITALIC"&gt;Choose the following tempest and make a &lt;strong&gt;Spellcast Roll&lt;/strong&gt; against all targets within Far range. Targets you succeed against experience its effects until the GM spends a Fear on their turn to end this spell.&lt;/p&gt;&lt;ul class=""&gt;&lt;li class="vertical-card-list"&gt;&lt;p&gt;&lt;em&gt;&lt;strong&gt;Sandstorm:&lt;/strong&gt;&lt;/em&gt; Deal &lt;strong&gt;5d6+9&lt;/strong&gt; magic damage. Attacks made from beyond Melee range have disadvantage.&lt;/p&gt;&lt;p&gt;&lt;/p&gt;&lt;/li&gt;&lt;/ul&gt;</t>
  </si>
  <si>
    <t>Thorn_Skin</t>
  </si>
  <si>
    <t>&lt;p class="Body-Foundation"&gt;Once per rest, &lt;strong&gt;spend a Hope&lt;/strong&gt; to sprout thorns all over your body. When you do, place a number of tokens equal to your Spellcast trait on this card.&lt;/p&gt;</t>
  </si>
  <si>
    <t>Use Tokens</t>
  </si>
  <si>
    <t>&lt;p&gt;When you take damage, you can spend any number of tokens to roll that number of &lt;strong&gt;d6s&lt;/strong&gt;. Add the results together and reduce the incoming damage by that amount. If youâ€™re within Melee range of the attacker, deal that amount of damage back to them.&lt;/p&gt;&lt;p class="Body-Foundation"&gt;When you take a rest, clear all unspent tokens.&lt;/p&gt;</t>
  </si>
  <si>
    <t>Thought_Delver</t>
  </si>
  <si>
    <t>Delve Deeper</t>
  </si>
  <si>
    <t>&lt;p&gt;&lt;span class="Body-Foundation" style="box-sizing: border-box; margin: 0px; scrollbar-width: thin; scrollbar-color: rgb(93, 20, 43) rgba(0, 0, 0, 0); font-family: Montserrat, sans-serif; color: rgb(239, 230, 216);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initial"&gt;Make a&lt;strong style="box-sizing: border-box; scrollbar-width: thin; scrollbar-color: rgb(93, 20, 43) rgba(0, 0, 0, 0);"&gt; Spellcast Roll &lt;/strong&gt;against the target to delve for deeper, more hidden thoughts. On a roll with Fear, the target might, at the GMâ€™s discretion, become aware that youâ€™re reading their thoughts.&lt;/span&gt;&lt;/p&gt;</t>
  </si>
  <si>
    <t>Read Surface Thoughts</t>
  </si>
  <si>
    <t>&lt;p&gt;You can peek into the minds of others. &lt;strong&gt;Spend a Hope&lt;/strong&gt; to read the vague surface thoughts of a target within Far range.&lt;/p&gt;</t>
  </si>
  <si>
    <t>Through_Your_Eyes</t>
  </si>
  <si>
    <t>&lt;p&gt;Choose a target within Very Far range. You can see through their eyes and hear through their ears. You can transition between using your own senses or the targetâ€™s freely until you cast another spell or until your next rest.&lt;/p&gt;</t>
  </si>
  <si>
    <t>Towering_Stalk</t>
  </si>
  <si>
    <t>Conjure Stalk</t>
  </si>
  <si>
    <t>&lt;p class="Body-Foundation"&gt;Once per rest, you can conjure a thick, twisting stalk within Close range that can be easily climbed. Its height can grow up to Far range.&lt;/p&gt;</t>
  </si>
  <si>
    <t>Use as attack</t>
  </si>
  <si>
    <t>&lt;p&gt;&lt;strong&gt;Mark a Stress&lt;/strong&gt; to use this spell as an attack. Make a &lt;strong&gt;Spellcast Roll&lt;/strong&gt; against an adversary or group of adversaries within Close range. The erupting stalk lifts targets you succeed against into the air and drops them, dealing &lt;strong&gt;d8&lt;/strong&gt; physical damage using your Proficiency.&lt;/p&gt;</t>
  </si>
  <si>
    <t>Transcendent_Union</t>
  </si>
  <si>
    <t>&lt;p class="Body-Foundation"&gt;Once per long rest, &lt;strong&gt;spend 5 Hope&lt;/strong&gt; to cast this spell on two or more willing creatures. Until your next rest, when a creature connected by this union would mark Stress or Hit Points, the connected creatures can choose who marks it.&lt;/p&gt;</t>
  </si>
  <si>
    <t>Troublemaker</t>
  </si>
  <si>
    <t>Provoke</t>
  </si>
  <si>
    <t>&lt;p&gt;When you taunt or provoke a target within Far range, make a &lt;strong&gt;Presence Roll&lt;/strong&gt; against them. Once per rest on a success, roll a number of &lt;strong&gt;d4s&lt;/strong&gt; equal to your Proficiency. The target must mark Stress equal to the highest result rolled.&lt;/p&gt;</t>
  </si>
  <si>
    <t>Twilight_Toll</t>
  </si>
  <si>
    <t>&lt;p&gt;&lt;span class="Body-Foundation" style="box-sizing: border-box; margin: 0px; scrollbar-width: thin; scrollbar-color: rgb(93, 20, 43) rgba(0, 0, 0, 0); font-family: Montserrat, sans-serif; color: rgb(239, 230, 216);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initial"&gt;When you deal damage to this target, spend any number of tokens to add a&lt;strong style="box-sizing: border-box; scrollbar-width: thin; scrollbar-color: rgb(93, 20, 43) rgba(0, 0, 0, 0);"&gt; d12&lt;/strong&gt; for each token spent to your damage roll. You can only hold Twilight Toll on one creature at a time.When you choose a new target or take a rest, clear all unspent tokens.&lt;/span&gt;&lt;/p&gt;</t>
  </si>
  <si>
    <t>Unbreakable</t>
  </si>
  <si>
    <t>&lt;p class="Body-Foundation"&gt;When you mark your last Hit Point, instead of making a death move, you can roll a &lt;strong&gt;d6&lt;/strong&gt; and clear a number of Hit Points equal to the result. Then place this card in your vault.&lt;/p&gt;</t>
  </si>
  <si>
    <t>Uncanny_Disguise</t>
  </si>
  <si>
    <t>Don Facade</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</si>
  <si>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none"&gt;When you have a few minutes to prepare, you can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initial"&gt;mark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0);"&gt;Stress&lt;/strong&gt;&lt;/span&gt;&lt;span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don the facade of any humanoid you can picture clearly in your mind. While disguised, you have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initial"&gt;advantage&lt;/span&gt;&lt;span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on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initial"&gt;Presence&lt;/span&gt;&lt;span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Rolls to avoid scrutiny.&lt;/span&gt;&lt;/p&gt;</t>
  </si>
  <si>
    <t>&lt;p&gt;Place a number of tokens equal to your Spellcast trait on this card. When you take an action while disguised, spend a token from this card. After the action that spends the last token is resolved, the disguise drops.&lt;/p&gt;</t>
  </si>
  <si>
    <t>Unleash_Chaos</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</si>
  <si>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none"&gt;Make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0);"&gt;Spellcast Roll&lt;/strong&gt;&lt;/span&gt;&lt;span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against a target within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initial"&gt;Far&lt;/span&gt;&lt;span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range and spend any number of tokens to channel raw energy from within yourself to unleash against them. On a success, roll a number of&lt;/span&gt;&lt;span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 d10s&lt;/span&gt;&lt;span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equal to the tokens you spent and deal that much magic damage to the target.&lt;/span&gt;&lt;/p&gt;</t>
  </si>
  <si>
    <t>Replenish Tokens</t>
  </si>
  <si>
    <t>&lt;p&gt;&lt;strong&gt;Mark a Stress&lt;/strong&gt; to replenish this card with tokens (up to your Spellcast trait).&lt;/p&gt;</t>
  </si>
  <si>
    <t>Valor_Touched</t>
  </si>
  <si>
    <t>Clear Armor</t>
  </si>
  <si>
    <t>&lt;p&gt;When you mark 1 or more Hit Points without marking an Armor Slot, clear an Armor Slot.&lt;/p&gt;</t>
  </si>
  <si>
    <t>Vanishing_Dodge</t>
  </si>
  <si>
    <t>Vanish</t>
  </si>
  <si>
    <t>&lt;p&gt;When an attack made against you that would deal physical damage fails, you can &lt;strong&gt;spend a Hope&lt;/strong&gt; to envelop yourself in shadow, becoming &lt;em&gt;Hidden&lt;/em&gt; and teleporting to a point within Close range of the attacker. You remain &lt;em&gt;Hidden&lt;/em&gt; until the next time you make an action roll.&lt;/p&gt;&lt;p&gt;&lt;/p&gt;</t>
  </si>
  <si>
    <t>Veil_of_Night</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</si>
  <si>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none"&gt;Make a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 style="box-sizing: border-box; scrollbar-width: thin; scrollbar-color: rgb(93, 20, 43) rgba(0, 0, 0, 0);"&gt;Spellcast Roll&lt;/strong&gt;&lt;/span&gt;&lt;span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 (13)&lt;/span&gt;&lt;span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On a success, you can create a temporary curtain of darkness between two points within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initial"&gt;Far&lt;/span&gt;&lt;span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range. Only you can see through this darkness. Youâ€™re considered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initial"&gt;&lt;em style="box-sizing: border-box; scrollbar-width: thin; scrollbar-color: rgb(93, 20, 43) rgba(0, 0, 0, 0);"&gt;Hidden&lt;/em&gt;&lt;/span&gt;&lt;span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adversaries on the other side of the veil, and you have &lt;/span&gt;&lt;span class="tooltip-convert" style="box-sizing: border-box; scrollbar-width: thin; scrollbar-color: rgb(93, 20, 43) rgba(0, 0, 0, 0); 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initial"&gt;advantage&lt;/span&gt;&lt;span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on attacks you make through the darkness. The veil remains until you cast another spell.&lt;/span&gt;&lt;/p&gt;</t>
  </si>
  <si>
    <t>Versatile_Fighter</t>
  </si>
  <si>
    <t>&lt;p class="Body-Foundation"&gt;You can use a different character trait for an equipped weapon, rather than the trait the weapon calls for.&lt;/p&gt;&lt;p class="Body-Foundation"&gt;When you deal damage, you can &lt;strong&gt;mark a Stress&lt;/strong&gt; to use the maximum result of one of your damage dice instead of rolling it.&lt;/p&gt;</t>
  </si>
  <si>
    <t>Vicious_Entangle</t>
  </si>
  <si>
    <t>&lt;p&gt;Make a &lt;strong&gt;Spellcast Roll&lt;/strong&gt; against a target within Far range. On a success, roots and vines reach out from the ground, dealing &lt;strong&gt;1d8+1&lt;/strong&gt; physical damage and temporarily &lt;em&gt;Restraining&lt;/em&gt; the target.&lt;/p&gt;</t>
  </si>
  <si>
    <t>Restrain Another</t>
  </si>
  <si>
    <t>&lt;p class="Body-Foundation"&gt;Additionally on a success, you can &lt;strong&gt;spend a Hope&lt;/strong&gt; to temporarily &lt;em&gt;Restrain&lt;/em&gt; another adversary within Very Close range of your target.&lt;/p&gt;</t>
  </si>
  <si>
    <t>Vitality</t>
  </si>
  <si>
    <t>Apply Effect</t>
  </si>
  <si>
    <t>&lt;p&gt;Choose from:&lt;/p&gt;&lt;ul class=""&gt;&lt;li class="vertical-card-list-found"&gt;&lt;p&gt;One Stress slot&lt;/p&gt;&lt;/li&gt;&lt;li class="vertical-card-list-found"&gt;&lt;p&gt;One Hit Point slot&lt;/p&gt;&lt;/li&gt;&lt;li class="vertical-card-list-found"&gt;+2 bonus to your damage thresholds&lt;/li&gt;&lt;/ul&gt;&lt;p&gt;(The effects are applied disabled. You have to manually enable two of them in your character sheet for now.&lt;/p&gt;&lt;p&gt;&lt;/p&gt;</t>
  </si>
  <si>
    <t>Wall_Walk</t>
  </si>
  <si>
    <t>&lt;p&gt;&lt;strong&gt;Spend a Hope&lt;/strong&gt; to allow a creature you can touch to climb on walls and ceilings as easily as walking on the ground. This lasts until the end of the scene or you cast Wall Walk again.&lt;/p&gt;</t>
  </si>
  <si>
    <t>Whirlwind</t>
  </si>
  <si>
    <t>&lt;p class="Body-Foundation"&gt;When you make a successful attack against a target within Very Close range, you can &lt;strong&gt;spend a Hope&lt;/strong&gt; to use the attack against all other targets within Very Close range. All additional adversaries you succeed against with this ability take half damage.&lt;/p&gt;&lt;p&gt;@Template[type:emanation|range:vc]&lt;/p&gt;</t>
  </si>
  <si>
    <t>Wild_Fortress</t>
  </si>
  <si>
    <t>&lt;p class="Body-Foundation"&gt;Make a &lt;strong&gt;Spellcast Roll (13)&lt;/strong&gt;. On a success, &lt;strong&gt;spend 2 Hope&lt;/strong&gt; to grow a natural barricade in the shape of a dome that you and one ally can take cover within. While inside the dome, a creature canâ€™t be targeted by attacks and canâ€™t make attacks. Attacks made against the dome automatically succeed. The dome has a Major damage threshold of 15 and a Severe damage threshold of 30, and lasts until it marks 3 Hit Points. Place tokens on this card to represent marking Hit Points.&lt;/p&gt;</t>
  </si>
  <si>
    <t>Wild_Surge</t>
  </si>
  <si>
    <t>Channel Nature</t>
  </si>
  <si>
    <t>&lt;p class="Body-Foundation"&gt;Once per long rest, &lt;strong&gt;mark a Stress&lt;/strong&gt; to channel the natural world around you and enhance yourself. Describe how your appearance changes, then place a &lt;strong&gt;d6&lt;/strong&gt; on this card with the 1 value facing up.&lt;/p&gt;&lt;p class="Body-Foundation"&gt;While the Wild Surge Die is active, you add its value to every action roll you make. After you add its value to a roll, increase the Wild Surge Dieâ€™s value by one. When the dieâ€™s value would exceed 6 or you take a rest, this form drops and you must &lt;strong&gt;mark an additional Stress&lt;/strong&gt;.&lt;/p&gt;</t>
  </si>
  <si>
    <t>Words_of_Discord</t>
  </si>
  <si>
    <t>&lt;p&gt;Whisper words of discord to an adversary within Melee range and make a &lt;strong&gt;Spellcast Roll (13)&lt;/strong&gt;. On a success, the target must mark a Stress and make an attack against another adversary instead of against you or your allies.&lt;/p&gt;&lt;p class="Body-Foundation"&gt;Once this attack is over, the target realizes what happened. The next time you cast Words of Discord on them, gain a âˆ’5 penalty to the Spellcast Roll.&lt;/p&gt;</t>
  </si>
  <si>
    <t>Wrangle</t>
  </si>
  <si>
    <t>Agility Check</t>
  </si>
  <si>
    <t>&lt;p class="Body-Foundation"&gt;Make an Agility Roll against all targets within Close range.&lt;strong&gt; Spend a Hope&lt;/strong&gt; to move targets you succeed against, and any willing allies within Close range, to another point within Close range.&lt;/p&gt;&lt;p&gt;@Template[type:emanation|range:c]&lt;/p&gt;</t>
  </si>
  <si>
    <t>Zone_of_Protection</t>
  </si>
  <si>
    <t>&lt;p&gt;Make a &lt;strong&gt;Spellcast Roll (16)&lt;/strong&gt;. Once per long rest on a success, choose a point within Far range and create a visible zone of protection there for all allies within Very Close range of that point. When you do, place a &lt;strong&gt;d6&lt;/strong&gt; on this card with the 1 value facing up. When an ally in this zone takes damage, they reduce it by the dieâ€™s value. You then increase the dieâ€™s value by one. When the dieâ€™s value would exceed 6, this effect ends.&lt;/p&gt;</t>
  </si>
  <si>
    <t>Act_of_Reprisal</t>
  </si>
  <si>
    <t>Mark Adversary</t>
  </si>
  <si>
    <t>&lt;p&gt;When an adversary damages an ally within Melee range, you gain a +1 bonus to your Proficiency for the next successful attack you make against that adversary.&lt;/p&gt;</t>
  </si>
  <si>
    <t>Adaptability</t>
  </si>
  <si>
    <t>Plant a precise strike. Mark Stress. Mark 1 Stress</t>
  </si>
  <si>
    <t>Adept</t>
  </si>
  <si>
    <t>&lt;p&gt;When you Utilize an Experience, you can &lt;strong&gt;mark a Stress&lt;/strong&gt; instead of spending a Hope. If you do, double your Experience modifier for that roll.&lt;/p&gt;</t>
  </si>
  <si>
    <t>Adrenaline</t>
  </si>
  <si>
    <t>&lt;p&gt;While you're Vulnerable, add your level to your damage rolls.&lt;/p&gt;</t>
  </si>
  <si>
    <t>Agile</t>
  </si>
  <si>
    <t>Lash out with a flash of steel. Spend Hope. Spend 1 Hope</t>
  </si>
  <si>
    <t>Apex_Predator</t>
  </si>
  <si>
    <t>&lt;p&gt;Before you make an attack roll against your Focus, you can spend a Hope. On a successful attack, you remove a Fear from the GMâ€™s Fear pool.&lt;/p&gt;</t>
  </si>
  <si>
    <t>Armored_Shell</t>
  </si>
  <si>
    <t>Retract</t>
  </si>
  <si>
    <t>&lt;p&gt;&lt;strong&gt;Mark an Armor Slot&lt;/strong&gt; to retract into your shell. While in your shell, physical damage is reduced by a number equal to your Armor Score (after applying resistance), but you canâ€™t perform other actions without leaving this form.&lt;/p&gt;</t>
  </si>
  <si>
    <t>Battle_Ritual</t>
  </si>
  <si>
    <t>Prepare</t>
  </si>
  <si>
    <t>&lt;p&gt;Once per long rest, before you attempt something incredibly dangerous or face off against a foe who clearly outmatches you, describe what ritual you perform or preparations you make. When you do, clear 2 Stress and gain 2 Hope.&lt;/p&gt;</t>
  </si>
  <si>
    <t>Beastform</t>
  </si>
  <si>
    <t>Deliver a clean blow. Beastform. Mark 1 Stress</t>
  </si>
  <si>
    <t>Bird_s_Eye_View</t>
  </si>
  <si>
    <t>Ask Question</t>
  </si>
  <si>
    <t>&lt;p&gt;Once per rest while you are airborne, you can ask the GM a question about the scene below you without needing to roll. The first time a character makes a roll to act on this information, they gain advantage on the roll.&lt;/p&gt;</t>
  </si>
  <si>
    <t>Cannonball</t>
  </si>
  <si>
    <t>&lt;p&gt;&lt;strong&gt;Mark a Stress&lt;/strong&gt; to allow an ally to throw or launch you at an adversary. To do so, the ally makes an attack roll using Agility or Strength (their choice) against a target within Close range. On a success, the adversary takes &lt;strong&gt;d12+2&lt;/strong&gt; physical damage using the throwerâ€™s Proficiency.&lt;/p&gt;</t>
  </si>
  <si>
    <t>&lt;p&gt;You can &lt;strong&gt;spend a Hope&lt;/strong&gt; to target an additional adversary within Very Close range of the first. The second target takes half the damage dealt to the first target.&lt;/p&gt;</t>
  </si>
  <si>
    <t>Channel_Raw_Power</t>
  </si>
  <si>
    <t>Channel</t>
  </si>
  <si>
    <t>&lt;p&gt;Once per long rest, you can place a domain card from your loadout into your vault and choose to either:&lt;/p&gt;&lt;ul&gt;&lt;li&gt;&lt;p&gt;Gain Hope equal to the level of the card.&lt;/p&gt;&lt;/li&gt;&lt;li&gt;&lt;p&gt;Enhance a spell that deals damage, gaining a bonus to your damage roll equal to twice the level of the card.&lt;/p&gt;&lt;/li&gt;&lt;/ul&gt;</t>
  </si>
  <si>
    <t>Charge</t>
  </si>
  <si>
    <t>Spin up a burst of speed. Damage. Mark 1 Stress to deal d12 Magical damage</t>
  </si>
  <si>
    <t>Clarity_of_Nature</t>
  </si>
  <si>
    <t>&lt;p&gt;Once per long rest, you can create a space of natural serenity within Close range. When you spend a few minutes resting within the space, clear Stress equal to your Instinct, distributed as you choose between you and your allies.&lt;/p&gt;</t>
  </si>
  <si>
    <t>Comaraderie</t>
  </si>
  <si>
    <t>&lt;p&gt;You can initiate a Tag Team Roll one additional time per session.&lt;/p&gt;</t>
  </si>
  <si>
    <t>Contacts_Everywhere</t>
  </si>
  <si>
    <t>Use Feature</t>
  </si>
  <si>
    <t>&lt;p&gt;Once per session, you can briefly call on a shady contact. Choose one of the following benefits and describe what brought them here to help you in this moment:&lt;/p&gt;&lt;ul&gt;&lt;li&gt;&lt;p&gt;They provide 1 handful of gold, a unique tool, or a mundane object that the situation requires.&lt;/p&gt;&lt;/li&gt;&lt;li&gt;&lt;p&gt;On your next action roll, their help provides a +3 bonus to the result of your Hope or Fear Die.&lt;/p&gt;&lt;/li&gt;&lt;li&gt;&lt;p&gt;The next time you deal damage, they snipe from the shadows, adding 2d8 to your damage roll.&lt;/p&gt;&lt;/li&gt;&lt;/ul&gt;</t>
  </si>
  <si>
    <t>Danger_Sense</t>
  </si>
  <si>
    <t>Plant a precise strike. Mark Stress. Mark 1 Stress to range veryClose</t>
  </si>
  <si>
    <t>Dark_Cloud</t>
  </si>
  <si>
    <t>SpellCast: Dark Cloud</t>
  </si>
  <si>
    <t>&lt;p&gt;Make &lt;strong&gt;a Spellcast Roll (15)&lt;/strong&gt;. On a success, create a temporary dark cloud that covers any area within Close range. Anyone in this cloud canâ€™t see outside of it, and anyone outside of it canâ€™t see in. Youâ€™re considered Cloaked from any adversary for whom the cloud blocks line of sight.&lt;/p&gt;&lt;p&gt;@Template[type:emanation|range:c]&lt;/p&gt;</t>
  </si>
  <si>
    <t>Death_Connection</t>
  </si>
  <si>
    <t>Extract</t>
  </si>
  <si>
    <t>Spin up a burst of speed. Extract. Mark 1 Stress</t>
  </si>
  <si>
    <t>Dedicated</t>
  </si>
  <si>
    <t>&lt;p&gt;Record three sayings or values your upbringing instilled in you. Once per rest, when you describe how youâ€™re embodying one of these principles through your current action, you can roll a d20 as your Hope Die&lt;/p&gt;</t>
  </si>
  <si>
    <t>Defender</t>
  </si>
  <si>
    <t>&lt;p&gt;When youâ€™re in Beastform and an ally within Close range marks 2 or more Hit Points, you can mark a Stress to reduce the number of Hit Points they mark by 1.&lt;/p&gt;</t>
  </si>
  <si>
    <t>Demolish</t>
  </si>
  <si>
    <t>&lt;p&gt;Spend a Hope to move up to Far range in a straight line and make an attack against all targets within Melee range of the line. Targets you succeed against take d8+10 physical damage using your Proficiency and are temporarily Vulnerable.&lt;/p&gt;</t>
  </si>
  <si>
    <t>Devastating_Strikes</t>
  </si>
  <si>
    <t>&lt;p&gt;When you deal Severe damage to a target within Melee range, you can &lt;strong&gt;mark a Stress&lt;/strong&gt; to force them to mark an additional Hit Point.&lt;/p&gt;</t>
  </si>
  <si>
    <t>Elemental_Aura</t>
  </si>
  <si>
    <t>Air</t>
  </si>
  <si>
    <t>&lt;p&gt;When you or an ally takes damage from an attack beyond Melee range, reduce the damage by 1d8.&lt;/p&gt;</t>
  </si>
  <si>
    <t>Earth</t>
  </si>
  <si>
    <t>&lt;p&gt;When an adversary marks 1 or more Hit Points, they must also mark a Stress.&lt;/p&gt;</t>
  </si>
  <si>
    <t>Fire</t>
  </si>
  <si>
    <t>Water</t>
  </si>
  <si>
    <t>&lt;p&gt;When an adversary deals damage to you, you can mark a Stress to move them anywhere within Very Close range of where they are.&lt;/p&gt;</t>
  </si>
  <si>
    <t>Elemental_Breath</t>
  </si>
  <si>
    <t>&lt;p&gt;Choose an element for your breath (such as electricity, fire, or ice). You can use this breath against a target or group of targets within Very Close range, treating it as an Instinct weapon that deals &lt;strong&gt;d8&lt;/strong&gt; magic damage using your Proficiency.&lt;/p&gt;</t>
  </si>
  <si>
    <t>Elemental_Dominion</t>
  </si>
  <si>
    <t>&lt;p&gt;You gain a +1 bonus to your Evasion and can fly.&lt;/p&gt;</t>
  </si>
  <si>
    <t>&lt;p&gt;When you would mark Hit Points, roll a d6 per Hit Point marked. For each result of 6, reduce the number of Hit Points you mark by 1.&lt;/p&gt;</t>
  </si>
  <si>
    <t>&lt;p&gt;You gain a +1 bonus to your Proficiency for attacks and spells that deal damage.&lt;/p&gt;</t>
  </si>
  <si>
    <t>&lt;p&gt;When an attack against you succeeds, you can mark a Stress to make the attacker temporarily Vulnerable.&lt;/p&gt;</t>
  </si>
  <si>
    <t>Elemental_Incarnation</t>
  </si>
  <si>
    <t>&lt;p&gt;You can hover, gaining advantage on Agility Rolls.&lt;/p&gt;</t>
  </si>
  <si>
    <t>&lt;p&gt;Gain a bonus to your damage thresholds equal to your Proficiency.&lt;/p&gt;</t>
  </si>
  <si>
    <t>&lt;p&gt;When an adversary within Melee range deals damage to you, they take @Damage[type:magical|value:1d10].&lt;/p&gt;</t>
  </si>
  <si>
    <t>&lt;p&gt;When you deal damage to an adversary within Melee range, all other adversaries within Very Close range must mark a Stress.&lt;/p&gt;&lt;p&gt;@Template[type:emanation|range:vc]&lt;/p&gt;</t>
  </si>
  <si>
    <t>Elementalist</t>
  </si>
  <si>
    <t>Bonus to Damage</t>
  </si>
  <si>
    <t>&lt;p&gt;S&lt;strong&gt;pend a Hope&lt;/strong&gt; and describe how your control over this element helps an action roll youâ€™re about to make, gain a +3 bonus to the rollâ€™s damage.&lt;/p&gt;</t>
  </si>
  <si>
    <t>Bonus to Roll</t>
  </si>
  <si>
    <t>&lt;p&gt;S&lt;strong&gt;pend a Hope&lt;/strong&gt; and describe how your control over this element helps an action roll youâ€™re about to make, gain a +2 bonus to the roll.&lt;/p&gt;</t>
  </si>
  <si>
    <t>Eloquent</t>
  </si>
  <si>
    <t>Channel a surge of will. Use Feature. trigger the effect</t>
  </si>
  <si>
    <t>Elusive_Prey</t>
  </si>
  <si>
    <t>Enchanted_Aid</t>
  </si>
  <si>
    <t>Swap Dice Results</t>
  </si>
  <si>
    <t>&lt;p&gt;Once per long rest, after an ally has made a Spellcast Roll with your help, you can swap the results of their Duality Dice.&lt;/p&gt;</t>
  </si>
  <si>
    <t>Evolution</t>
  </si>
  <si>
    <t>&lt;p&gt;Spend 3 Hope to transform into a Beastform without marking a Stress. When you do, choose one trait to raise by +1 until you drop out of that Beastform. &lt;/p&gt;</t>
  </si>
  <si>
    <t>Fearless</t>
  </si>
  <si>
    <t>Plant a precise strike. Mark Stress. Mark 2 Stress</t>
  </si>
  <si>
    <t>Feline_Instincts</t>
  </si>
  <si>
    <t>Lash out with a flash of steel. Spend Hope. Spend 2 Hope</t>
  </si>
  <si>
    <t>Fleet</t>
  </si>
  <si>
    <t>Move</t>
  </si>
  <si>
    <t>&lt;p&gt;&lt;strong&gt;Spend a Hope&lt;/strong&gt; to move up to Far range without rolling.&lt;/p&gt;</t>
  </si>
  <si>
    <t>Frontline_Tank</t>
  </si>
  <si>
    <t>&lt;p&gt;&lt;strong&gt;Spend 3 Hope&lt;/strong&gt; to clear 2 Armor Slots&lt;/p&gt;</t>
  </si>
  <si>
    <t>Fungril_Network</t>
  </si>
  <si>
    <t>Communicate</t>
  </si>
  <si>
    <t>Slip in a cutting remark. Communicate. trigger the effect</t>
  </si>
  <si>
    <t>Gifted_Performer</t>
  </si>
  <si>
    <t>Epic Song</t>
  </si>
  <si>
    <t>&lt;p&gt;Make &lt;strong&gt;a target&lt;/strong&gt; within &lt;strong&gt;Close&lt;/strong&gt; range temporarily &lt;strong&gt;Vulnerable&lt;/strong&gt;.&lt;/p&gt;</t>
  </si>
  <si>
    <t>Heartbreaking Song</t>
  </si>
  <si>
    <t>&lt;p&gt;&lt;strong&gt;You and all allies&lt;/strong&gt; within &lt;strong&gt;Close&lt;/strong&gt; range &lt;strong&gt;gain a Hope&lt;/strong&gt;.&lt;/p&gt;</t>
  </si>
  <si>
    <t>Relaxing Song</t>
  </si>
  <si>
    <t>&lt;p&gt;&lt;strong&gt;You and all allies&lt;/strong&gt; within &lt;strong&gt;Close&lt;/strong&gt; range &lt;strong&gt;clear a Hit Point&lt;/strong&gt;.&lt;/p&gt;</t>
  </si>
  <si>
    <t>Heart_of_a_Poet</t>
  </si>
  <si>
    <t>&lt;p&gt;After you make an action roll to impress, persuade, or offend someone, you can spend a Hope to add a [[/r d4]] to the roll.&lt;/p&gt;</t>
  </si>
  <si>
    <t>Hobbling_Strike</t>
  </si>
  <si>
    <t>Hold_Them_Off</t>
  </si>
  <si>
    <t>&lt;p&gt;Spend 3 Hope when you succeed on an attack with a weapon to use that same roll against two additional adversaries within range of the attack.&lt;/p&gt;</t>
  </si>
  <si>
    <t>Honed_Expertise</t>
  </si>
  <si>
    <t>&lt;p&gt;When you use an Experience, roll a &lt;strong&gt;d6&lt;/strong&gt;. On a result of 5 or higher, you can use it without spending Hope.&lt;/p&gt;</t>
  </si>
  <si>
    <t>Increased_Fortitude</t>
  </si>
  <si>
    <t>Lash out with a flash of steel. Spend Hope. Spend 3 Hope</t>
  </si>
  <si>
    <t>Kick</t>
  </si>
  <si>
    <t>Spin up a burst of speed. Damage. deal d6 damage</t>
  </si>
  <si>
    <t>Life_Support</t>
  </si>
  <si>
    <t>&lt;p&gt;&lt;strong&gt;Spend 3 Hope&lt;/strong&gt; to clear a Hit Point on an ally within Close range.&lt;/p&gt;</t>
  </si>
  <si>
    <t>Long_Tongue</t>
  </si>
  <si>
    <t>Barrel in like a raging bull. Attack. Mark 1 Stress to deal d12 damage</t>
  </si>
  <si>
    <t>Loyal_Friend</t>
  </si>
  <si>
    <t>Rush</t>
  </si>
  <si>
    <t>&lt;p&gt;Once per long rest, when the damage from an attack would mark your companionâ€™s last Stress or your last Hit Point and youâ€™re within Close range of each other, you or your companion can rush to the otherâ€™s side and take that damage instead.&lt;/p&gt;</t>
  </si>
  <si>
    <t>Loyal_Protector</t>
  </si>
  <si>
    <t>&lt;p&gt;When an ally within Close range has 2 or fewer Hit Points and would take damage, you can &lt;strong&gt;mark a Stress&lt;/strong&gt; to sprint to their side and take the damage instead.&lt;/p&gt;</t>
  </si>
  <si>
    <t>Luckbender</t>
  </si>
  <si>
    <t>Slip in a cutting remark. Use. Spend 3 Hope to range close</t>
  </si>
  <si>
    <t>Luckbringer</t>
  </si>
  <si>
    <t>Deliver a clean blow. Gain Hope. deal d6 damage</t>
  </si>
  <si>
    <t>Make_a_Scene</t>
  </si>
  <si>
    <t>Manipulate_Magic</t>
  </si>
  <si>
    <t>Manipulate</t>
  </si>
  <si>
    <t>&lt;p&gt;Your primal origin allows you to modify the essence of magic itself. After you cast a spell or make an attack using a weapon that deals magic damage, you can mark a Stress to do one of the following:&lt;/p&gt;&lt;ul&gt;&lt;li&gt;&lt;p&gt;Extend the spell or attackâ€™s reach by one range&lt;/p&gt;&lt;/li&gt;&lt;li&gt;&lt;p&gt;Gain a +2 bonus to the action rollâ€™s result&lt;/p&gt;&lt;/li&gt;&lt;li&gt;&lt;p&gt;Double a damage die of your choice&lt;/p&gt;&lt;/li&gt;&lt;li&gt;&lt;p&gt;Hit an additional target within range&lt;/p&gt;&lt;/li&gt;&lt;/ul&gt;</t>
  </si>
  <si>
    <t>Minor_Illusion</t>
  </si>
  <si>
    <t>Natural_Evasion</t>
  </si>
  <si>
    <t>Evade</t>
  </si>
  <si>
    <t>&lt;p&gt;You can call forth your element to protect you from harm. When an attack roll against you succeeds, you can &lt;strong&gt;mark a Stress&lt;/strong&gt; and describe how you use your element to defend you. When you do, roll a &lt;strong&gt;d6&lt;/strong&gt; and add its result to your Evasion against the attack.&lt;/p&gt;</t>
  </si>
  <si>
    <t>Nemesis</t>
  </si>
  <si>
    <t>&lt;p&gt;&lt;strong&gt;Spend 2 Hope&lt;/strong&gt; to Prioritize an adversary until your next rest. When you make an attack against your Prioritized adversary, you can swap the results of your Hope and Fear Dice. You can only Prioritize one adversary at a time.&lt;/p&gt;</t>
  </si>
  <si>
    <t>No_Mercy</t>
  </si>
  <si>
    <t>&lt;p&gt;&lt;strong&gt;Spend 3 Hope&lt;/strong&gt; to gain a +1 bonus to your attack rolls until your next rest.&lt;/p&gt;</t>
  </si>
  <si>
    <t>Nomadic_Pack</t>
  </si>
  <si>
    <t>Pull Item</t>
  </si>
  <si>
    <t>Cast a quick feint. Pull Item. Spend 1 Hope</t>
  </si>
  <si>
    <t>Not_This_Time</t>
  </si>
  <si>
    <t>&lt;p&gt;&lt;strong&gt;Spend 3 Hope&lt;/strong&gt; to force an adversary within Far range to reroll an attack or damage roll.&lt;/p&gt;</t>
  </si>
  <si>
    <t>Ocean_Master</t>
  </si>
  <si>
    <t>&lt;p&gt;When you succeed on an attack against a target within Melee range, you can temporarily &lt;em&gt;Restrain&lt;/em&gt; them.&lt;/p&gt;</t>
  </si>
  <si>
    <t>Partner_in_Arms</t>
  </si>
  <si>
    <t>&lt;p&gt;When an ally within Very Close range takes damage, you can mark an Armor Slot to reduce the severity by one threshold.&lt;/p&gt;</t>
  </si>
  <si>
    <t>Perfect_Recall</t>
  </si>
  <si>
    <t>Recall</t>
  </si>
  <si>
    <t>&lt;p&gt;Once per rest, when you recall a domain card in your vault, you can reduce its Recall Cost by 1.&lt;/p&gt;</t>
  </si>
  <si>
    <t>Quick_Reactions</t>
  </si>
  <si>
    <t>Rally</t>
  </si>
  <si>
    <t>Rally your allies!</t>
  </si>
  <si>
    <t>Let loose a flare of power. Rally Your Allies!. trigger the effect</t>
  </si>
  <si>
    <t>Rally__Level_5_</t>
  </si>
  <si>
    <t>Rally your Allies</t>
  </si>
  <si>
    <t>Channel a surge of will. Rally Your Allies. trigger the effect</t>
  </si>
  <si>
    <t>Rampage</t>
  </si>
  <si>
    <t>Gain Proficiency</t>
  </si>
  <si>
    <t>&lt;p&gt;Before you make an attack roll, you can mark a Stress to gain a +1 bonus to your Proficiency for that attack.&lt;/p&gt;</t>
  </si>
  <si>
    <t>Ranger_s_Focus</t>
  </si>
  <si>
    <t>&lt;p&gt;Spend a Hope and make an attack against a target. On a success, deal your attackâ€™s normal damage and temporarily make the attackâ€™s target your Focus. Until this feature ends or you make a different creature your Focus, you gain the following benefits against your Focus:&lt;/p&gt;&lt;ul&gt;&lt;li&gt;&lt;p&gt;You know precisely what direction they are in.&lt;/p&gt;&lt;/li&gt;&lt;li&gt;&lt;p&gt;When you deal damage to them, they must mark a Stress.&lt;/p&gt;&lt;/li&gt;&lt;li&gt;&lt;p&gt;When you fail an attack against them, you can end your Rangerâ€™s Focus feature to reroll your Duality Dice.&lt;/p&gt;&lt;/li&gt;&lt;/ul&gt;</t>
  </si>
  <si>
    <t>Regeneration</t>
  </si>
  <si>
    <t>Heal a creature</t>
  </si>
  <si>
    <t>&lt;p&gt;Touch a creature and spend 3 Hope. That creature clears 1d4 Hit Points.&lt;/p&gt;</t>
  </si>
  <si>
    <t>Plant a precise strike. Mark Stress. trigger the effect</t>
  </si>
  <si>
    <t>Retracting_Claws</t>
  </si>
  <si>
    <t>Scratch</t>
  </si>
  <si>
    <t>Cast a quick feint. Scratch. trigger the effect</t>
  </si>
  <si>
    <t>Revenge</t>
  </si>
  <si>
    <t>&lt;p&gt;When an adversary within Melee range succeeds on an attack against you, you can mark 2 Stress to force the attacker to mark a Hit Point.&lt;/p&gt;</t>
  </si>
  <si>
    <t>Rogue_s_Dodge</t>
  </si>
  <si>
    <t>&lt;p&gt;&lt;strong&gt;Spend 3 Hope&lt;/strong&gt; to gain a +2 bonus to your Evasion until the next time an attack succeeds against you. Otherwise, this bonus lasts until your next rest.&lt;/p&gt;</t>
  </si>
  <si>
    <t>Rousing_Speech</t>
  </si>
  <si>
    <t>Talk to your allies!</t>
  </si>
  <si>
    <t>&lt;p&gt;&lt;span style="box-sizing: border-box; scrollbar-width: thin; scrollbar-color: var(--color-scrollbar) var(--color-scrollbar-track);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initial"&gt;&lt;strong&gt;Once per long rest&lt;/strong&gt;&lt;/span&gt;&lt;span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you can give a heartfelt, inspiring speech. &lt;/span&gt;&lt;span style="box-sizing: border-box; scrollbar-width: thin; scrollbar-color: var(--color-scrollbar) var(--color-scrollbar-track);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initial"&gt;&lt;strong&gt;All allies&lt;/strong&gt;&lt;/span&gt;&lt;span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within &lt;/span&gt;&lt;span style="box-sizing: border-box; scrollbar-width: thin; scrollbar-color: var(--color-scrollbar) var(--color-scrollbar-track);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initial"&gt;&lt;strong&gt;Far&lt;/strong&gt;&lt;/span&gt;&lt;span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range &lt;/span&gt;&lt;span style="box-sizing: border-box; scrollbar-width: thin; scrollbar-color: var(--color-scrollbar) var(--color-scrollbar-track);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initial"&gt;&lt;strong&gt;clear 2 Stress&lt;/strong&gt;&lt;/span&gt;&lt;span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none"&gt;&lt;strong&gt;.&lt;/strong&gt;&lt;/span&gt;&lt;/p&gt;</t>
  </si>
  <si>
    <t>Ruthless_Predator</t>
  </si>
  <si>
    <t>&lt;p&gt;When you make a damage roll, you can mark a Stress to gain a +1 bonus to your Proficiency. Additionally, when you deal Severe damage to an adversary, they must mark a Stress.&lt;/p&gt;</t>
  </si>
  <si>
    <t>Shadow_Stepper</t>
  </si>
  <si>
    <t>&lt;p&gt;You can move from shadow to shadow. When you move into an area of darkness or a shadow cast by another creature or object, you can mark a Stress to disappear from where you are and reappear inside another shadow within Far range. When you reappear, you are Cloaked.&lt;/p&gt;</t>
  </si>
  <si>
    <t>Snapping_Strike</t>
  </si>
  <si>
    <t>&lt;p&gt;When you succeed on an attack against a target within Melee range, you can &lt;strong&gt;spend a Hope&lt;/strong&gt; to clamp that opponent in your jaws, making them temporarily &lt;em&gt;Restrained&lt;/em&gt; and &lt;em&gt;Vulnerable&lt;/em&gt;.&lt;/p&gt;</t>
  </si>
  <si>
    <t>Sneak_Attack</t>
  </si>
  <si>
    <t>Use Sneak Attack</t>
  </si>
  <si>
    <t>&lt;p&gt;When you succeed on an attack while Cloaked or while an ally is within Melee range of your target, add a number of d6s equal to your tier to your damage roll.&lt;/p&gt;&lt;ul&gt;&lt;li&gt;&lt;p&gt;Level 1 -&amp;gt; Tier 1&lt;/p&gt;&lt;/li&gt;&lt;li&gt;&lt;p&gt;Levels 2â€“4 -&amp;gt; Tier 2&lt;/p&gt;&lt;/li&gt;&lt;li&gt;&lt;p&gt;Levels 5â€“7 -&amp;gt; Tier 3&lt;/p&gt;&lt;/li&gt;&lt;li&gt;&lt;p&gt;Levels 8â€“10 -&amp;gt; Tier 4&lt;/p&gt;&lt;/li&gt;&lt;/ul&gt;</t>
  </si>
  <si>
    <t>Sparing_Touch</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</si>
  <si>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none"&gt;Once per long rest, touch a creature and clear 2 Hit Points or 2 Stress from them.&lt;/span&gt;&lt;/p&gt;</t>
  </si>
  <si>
    <t>Spirit_Weapon</t>
  </si>
  <si>
    <t>Target Additional Adversary</t>
  </si>
  <si>
    <t>&lt;p&gt;&lt;span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none"&gt;You can &lt;/span&gt;&lt;span style="box-sizing: border-box; scrollbar-width: thin; scrollbar-color: rgb(93, 20, 43) rgba(0, 0, 0, 0); color: rgb(239, 230, 216); font-family: Montserrat, sans-serif; font-size: 14px; font-style: normal; font-variant-ligatures: normal; font-variant-caps: normal; letter-spacing: normal; orphans: 2; text-align: start; text-indent: 0px; text-transform: none; widows: 2; word-spacing: 0px; -webkit-text-stroke-width: 0px; white-space: normal; background-color: rgba(24, 22, 46, 0.376); text-decoration-thickness: initial; text-decoration-style: initial; text-decoration-color: initial"&gt;mark a Stress&lt;/span&gt;&lt;span style="color: rgb(239, 230, 216); font-family: Montserrat, sans-serif; font-size: 14px; font-style: normal; font-variant-ligatures: normal; font-variant-caps: normal; font-weight: 400; letter-spacing: normal; orphans: 2; text-align: start; text-indent: 0px; text-transform: none; widows: 2; word-spacing: 0px; -webkit-text-stroke-width: 0px; white-space: normal; background-color: rgba(24, 22, 46, 0.376); text-decoration-thickness: initial; text-decoration-style: initial; text-decoration-color: initial; display: inline !important; float: none"&gt; to target an additional adversary within range with the same attack roll.&lt;/span&gt;&lt;/p&gt;</t>
  </si>
  <si>
    <t>Strange_Patterns</t>
  </si>
  <si>
    <t>&lt;p&gt;Choose a number between 1 and 12. When you roll that number on a Duality Die, gain a Hope or clear a Stress.&lt;/p&gt;&lt;p&gt;&lt;/p&gt;&lt;p&gt;You can change this number when you take a long rest.&lt;/p&gt;</t>
  </si>
  <si>
    <t>Takedown</t>
  </si>
  <si>
    <t>&lt;p&gt;&lt;strong&gt;Mark a Stress&lt;/strong&gt; to move into Melee range of a target and make an attack roll against them. On a success, you gain a +2 bonus to your Proficiency for this attack and the target must mark a Stress.&lt;/p&gt;</t>
  </si>
  <si>
    <t>Thrive_in_Chaos</t>
  </si>
  <si>
    <t>&lt;p&gt;When you succeed on an attack, you can &lt;strong&gt;mark a Stress&lt;/strong&gt; after rolling damage to force the target to mark an additional Hit Point.&lt;/p&gt;</t>
  </si>
  <si>
    <t>Trample</t>
  </si>
  <si>
    <t>&lt;p&gt;&lt;strong&gt;Mark a Stress&lt;/strong&gt; to move up to Close range in a straight line and make an attack against all targets within Melee range of the line. Targets you succeed against take d8+1 physical damage using your Proficiency and are temporarily &lt;em&gt;Vulnerable&lt;/em&gt;.&lt;/p&gt;</t>
  </si>
  <si>
    <t>Transcendence</t>
  </si>
  <si>
    <t>&lt;p&gt;Once per long rest, you can transform into a physical manifestation of your element. When you do, describe your transformation and choose two of the following benefits to gain until your next rest:&lt;/p&gt;&lt;ul&gt;&lt;li&gt;&lt;p&gt;+4 bonus to your Severe threshold&lt;/p&gt;&lt;/li&gt;&lt;li&gt;&lt;p&gt;+1 bonus to a character trait of your choice&lt;/p&gt;&lt;/li&gt;&lt;li&gt;&lt;p&gt;+1 bonus to your Proficiency&lt;/p&gt;&lt;/li&gt;&lt;li&gt;&lt;p&gt;+2 bonus to your Evasion&lt;/p&gt;&lt;/li&gt;&lt;/ul&gt;</t>
  </si>
  <si>
    <t>Tusks</t>
  </si>
  <si>
    <t>Unshakeable</t>
  </si>
  <si>
    <t>Slip in a cutting remark. Use. trigger the effect</t>
  </si>
  <si>
    <t>Unyielding</t>
  </si>
  <si>
    <t>&lt;p&gt;When you would mark an Armor Slot, roll a &lt;strong&gt;d6&lt;/strong&gt;. On a result of 5 or higher, reduce the severity by one threshold without marking an Armor Slot.&lt;/p&gt;</t>
  </si>
  <si>
    <t>Vanishing_Act</t>
  </si>
  <si>
    <t>&lt;p&gt;&lt;strong&gt;Mark a Stress&lt;/strong&gt; to become Cloaked at any time. When Cloaked from this feature, you automatically clear the Restrained condition if you have it. You remain Cloaked in this way until you roll with Fear or until your next rest.&lt;/p&gt;</t>
  </si>
  <si>
    <t>Venomous_Bite</t>
  </si>
  <si>
    <t>Poison</t>
  </si>
  <si>
    <t>Unleash a storm of force. Poison. range melee</t>
  </si>
  <si>
    <t>Venomous_Strike</t>
  </si>
  <si>
    <t>&lt;p&gt;Make an attack against any number of targets within Very Close range. On a success, a target is temporarily Poisoned. A Poisoned creature takes &lt;strong&gt;1d10&lt;/strong&gt; physical direct damage each time they act.&lt;/p&gt;</t>
  </si>
  <si>
    <t>Vicious_Maul</t>
  </si>
  <si>
    <t>&lt;p&gt;When you succeed on an attack against a target within Melee range, you can &lt;strong&gt;spend a Hope&lt;/strong&gt; to clamp that opponent in your jaws, making them temporarily Restrained and Vulnerable.&lt;/p&gt;</t>
  </si>
  <si>
    <t>Volatile_Magic</t>
  </si>
  <si>
    <t>Spend 3 Hope</t>
  </si>
  <si>
    <t>&lt;p&gt;&lt;strong&gt;Spend 3 Hope&lt;/strong&gt; to reroll any number of your damage dice on an attack that deals magic damage.&lt;/p&gt;</t>
  </si>
  <si>
    <t>Warden_s_Protection</t>
  </si>
  <si>
    <t>&lt;p&gt;Once per long rest, spend 2 Hope to clear 2 Hit Points on [[/r 1d4]] allies within Close range.&lt;/p&gt;</t>
  </si>
  <si>
    <t>Warning_Hiss</t>
  </si>
  <si>
    <t>&lt;p&gt;&lt;strong&gt;Mark a Stress&lt;/strong&gt; to force any number of targets within Melee range to move back to Very Close range.&lt;/p&gt;</t>
  </si>
  <si>
    <t>Weapon_Specialist</t>
  </si>
  <si>
    <t>Reroll</t>
  </si>
  <si>
    <t>&lt;p&gt;Additionally, once per long rest when you roll your Slayer Dice, reroll any 1s.&lt;/p&gt;</t>
  </si>
  <si>
    <t>&lt;p&gt;You can wield multiple weapons with dangerous ease. When you succeed on an attack, you can &lt;strong&gt;spend a Hope&lt;/strong&gt; to add one of the damage dice from your secondary weapon to the damage roll.&lt;/p&gt;</t>
  </si>
  <si>
    <t>Webslinger</t>
  </si>
  <si>
    <t>Barrel in like a raging bull. Restrain. trigger the effect</t>
  </si>
  <si>
    <t>Wings</t>
  </si>
  <si>
    <t>Wings_of_Light</t>
  </si>
  <si>
    <t>&lt;p&gt;Mark a Stress to pick up and carry another willing creature approximately your size or smaller.&lt;/p&gt;</t>
  </si>
  <si>
    <t>&lt;p&gt;Spend a Hope to deal an extra 1d8 damage on a successful attack.&lt;/p&gt;</t>
  </si>
  <si>
    <t>Airblade_Charm</t>
  </si>
  <si>
    <t>Slip in a cutting remark. Activate. trigger the effect</t>
  </si>
  <si>
    <t>Arcane_Prism</t>
  </si>
  <si>
    <t>Slip in a cutting remark. Activate. range close</t>
  </si>
  <si>
    <t>Bag_of_Ficklesand</t>
  </si>
  <si>
    <t>Blow Sand</t>
  </si>
  <si>
    <t>Lash out with a flash of steel. Blow Sand. trigger the effect</t>
  </si>
  <si>
    <t>Belt_of_Unity</t>
  </si>
  <si>
    <t>Slip in a cutting remark. Use. Spend 5 Hope</t>
  </si>
  <si>
    <t>Box_of_Many_Goods</t>
  </si>
  <si>
    <t>Snap off a sharp riposte. Open. trigger the effect</t>
  </si>
  <si>
    <t>Calming_Pendant</t>
  </si>
  <si>
    <t>Corrector_Sprite</t>
  </si>
  <si>
    <t>Listen</t>
  </si>
  <si>
    <t>Spin up a burst of speed. Listen. trigger the effect</t>
  </si>
  <si>
    <t>Elusive_Amulet</t>
  </si>
  <si>
    <t>Fire_Jar</t>
  </si>
  <si>
    <t>Pour</t>
  </si>
  <si>
    <t>Let loose a flare of power. Pour. trigger the effect</t>
  </si>
  <si>
    <t>Glamour_Stone</t>
  </si>
  <si>
    <t>Create Illusion</t>
  </si>
  <si>
    <t>Spin up a burst of speed. Create Illusion. Spend 1 Hope</t>
  </si>
  <si>
    <t>Glider</t>
  </si>
  <si>
    <t>Hopekeeper_Locket</t>
  </si>
  <si>
    <t>Imbue</t>
  </si>
  <si>
    <t>Snap off a sharp riposte. Imbue. Spend 1 Hope</t>
  </si>
  <si>
    <t>Slip in a cutting remark. Use. restore d6 health</t>
  </si>
  <si>
    <t>Paragon_s_Chain</t>
  </si>
  <si>
    <t>Slip in a cutting remark. Use. Spend 1 Hope</t>
  </si>
  <si>
    <t>Piercing_Arrows</t>
  </si>
  <si>
    <t>Premium_Bedroll</t>
  </si>
  <si>
    <t>Take a nap</t>
  </si>
  <si>
    <t>Slip in a cutting remark. Take A Nap. restore d6 health</t>
  </si>
  <si>
    <t>Ring_of_Resistance</t>
  </si>
  <si>
    <t>Ring_of_Silence</t>
  </si>
  <si>
    <t>Slip in a cutting remark. Activate. Spend 1 Hope</t>
  </si>
  <si>
    <t>Ring_of_Unbreakable_Resolve</t>
  </si>
  <si>
    <t>Slip in a cutting remark. Use. Spend 4 Hope</t>
  </si>
  <si>
    <t>Shard_of_Memory</t>
  </si>
  <si>
    <t>Slip in a cutting remark. Use. Spend 2 Hope</t>
  </si>
  <si>
    <t>Skeleton_Key</t>
  </si>
  <si>
    <t>Use Key</t>
  </si>
  <si>
    <t>Snap off a sharp riposte. Use Key. trigger the effect</t>
  </si>
  <si>
    <t>Woven_Net</t>
  </si>
  <si>
    <t>Cast a quick feint. Throw. trigger the effect</t>
  </si>
  <si>
    <t>weapons</t>
  </si>
  <si>
    <t>Advanced_Grappler</t>
  </si>
  <si>
    <t>Hook</t>
  </si>
  <si>
    <t>On a successful attack, you can pull the target into Melee range.</t>
  </si>
  <si>
    <t>Advanced_Light_Frame_Wheelchair</t>
  </si>
  <si>
    <t>Quick</t>
  </si>
  <si>
    <t>When you make an attack, you can mark a Stress to target another creature within range.</t>
  </si>
  <si>
    <t>Advanced_Rapier</t>
  </si>
  <si>
    <t>Advanced_Returning_Blade</t>
  </si>
  <si>
    <t>Return</t>
  </si>
  <si>
    <t>When this weapon is thrown within its range, it appears in your hand immediately after the attack.</t>
  </si>
  <si>
    <t>Advanced_Scepter</t>
  </si>
  <si>
    <t>Versatile Attack</t>
  </si>
  <si>
    <t>Plant a precise strike. Versatile Attack. deal d8+4 Magical damage</t>
  </si>
  <si>
    <t>Advanced_Whip</t>
  </si>
  <si>
    <t>Startle</t>
  </si>
  <si>
    <t>Mark a Stress to crack the whip and force all adversaries within Melee range back to Close range.</t>
  </si>
  <si>
    <t>Axe_of_Fortunis</t>
  </si>
  <si>
    <t>Luck</t>
  </si>
  <si>
    <t>On a failed attack, you can mark a Stress to reroll your attack.</t>
  </si>
  <si>
    <t>Black_Powder_Revolver</t>
  </si>
  <si>
    <t>Reload</t>
  </si>
  <si>
    <t>After you make an attack, roll a d6. On a result of 1, you must mark a Stress to reload this weapon before you can fire it again.</t>
  </si>
  <si>
    <t>Bladed_Whip</t>
  </si>
  <si>
    <t>Blessed_Anlace</t>
  </si>
  <si>
    <t>Heal</t>
  </si>
  <si>
    <t>During downtime, automatically clear a Hit Point.</t>
  </si>
  <si>
    <t>Bloodstaff</t>
  </si>
  <si>
    <t>Each time you make a successful attack, you must mark a Stress.</t>
  </si>
  <si>
    <t>Blunderbuss</t>
  </si>
  <si>
    <t>Braveshield</t>
  </si>
  <si>
    <t>Shelter</t>
  </si>
  <si>
    <t>When you mark an Armor Slot, it reduces damage for you and all allies within Melee range of you who took the same damage.</t>
  </si>
  <si>
    <t>Buckler</t>
  </si>
  <si>
    <t>Deflect</t>
  </si>
  <si>
    <t>When you are attacked, you can mark an Armor Slot to gain a bonus to your Evasion equal to your Armor Score against the attack.</t>
  </si>
  <si>
    <t>Casting_Sword</t>
  </si>
  <si>
    <t>Plant a precise strike. Versatile Attack. deal d6+3 damage</t>
  </si>
  <si>
    <t>Devouring_Dagger</t>
  </si>
  <si>
    <t>Scare</t>
  </si>
  <si>
    <t>On a successful attack, the target must mark a Stress.</t>
  </si>
  <si>
    <t>Dual_Ended_Sword</t>
  </si>
  <si>
    <t>Ego_Blade</t>
  </si>
  <si>
    <t>Pompous</t>
  </si>
  <si>
    <t>You must have a Presence of 0 or lower to use this weapon.</t>
  </si>
  <si>
    <t>Extended_Polearm</t>
  </si>
  <si>
    <t>Long</t>
  </si>
  <si>
    <t>This weapon's attack targets all adversaries in a line within range.</t>
  </si>
  <si>
    <t>Firestaff</t>
  </si>
  <si>
    <t>When you roll a 6 on a damage die, the target must mark a Stress.</t>
  </si>
  <si>
    <t>Grappler</t>
  </si>
  <si>
    <t>Hammer_of_Exota</t>
  </si>
  <si>
    <t>Erupt</t>
  </si>
  <si>
    <t>On a successful attack against a target within Melee range, all other adversaries within Very Close range must succeed on a reaction roll (14) or take half damage.</t>
  </si>
  <si>
    <t>Hammer_of_Wrath</t>
  </si>
  <si>
    <t>Devastate</t>
  </si>
  <si>
    <t>Before you make an attack roll, you can mark a Stress to use a d20 as your damage die.</t>
  </si>
  <si>
    <t>Hand_Cannon</t>
  </si>
  <si>
    <t>Hand_Sling</t>
  </si>
  <si>
    <t>Plant a precise strike. Versatile Attack. deal d8+4 damage</t>
  </si>
  <si>
    <t>Ilmari_s_Rifle</t>
  </si>
  <si>
    <t>Impact_Gauntlet</t>
  </si>
  <si>
    <t>Concuss</t>
  </si>
  <si>
    <t>On a successful attack, you can spend a Hope to knock the target back to Far range.</t>
  </si>
  <si>
    <t>Improved_Grappler</t>
  </si>
  <si>
    <t>Improved_Light_Frame_Wheelchair</t>
  </si>
  <si>
    <t>Improved_Rapier</t>
  </si>
  <si>
    <t>Improved_Returning_Blade</t>
  </si>
  <si>
    <t>Improved_Scepter</t>
  </si>
  <si>
    <t>Plant a precise strike. Versatile Attack. deal d8+3 Magical damage</t>
  </si>
  <si>
    <t>Improved_Whip</t>
  </si>
  <si>
    <t>Knuckle_Blades</t>
  </si>
  <si>
    <t>DAGGERHEART.CONFIG.WeaponFeature.brutal.actions.addDamage.name</t>
  </si>
  <si>
    <t>DAGGERHEART.CONFIG.WeaponFeature.brutal.actions.addDamage.description</t>
  </si>
  <si>
    <t>Knuckle_Claws</t>
  </si>
  <si>
    <t>Double Up</t>
  </si>
  <si>
    <t>When you make an attack with your primary weapon, you can deal damage to another target within Melee range.</t>
  </si>
  <si>
    <t>Legendary_Grappler</t>
  </si>
  <si>
    <t>Legendary_Light_Frame_Wheelchair</t>
  </si>
  <si>
    <t>Legendary_Rapier</t>
  </si>
  <si>
    <t>Legendary_Returning_Blade</t>
  </si>
  <si>
    <t>Legendary_Scepter</t>
  </si>
  <si>
    <t>Plant a precise strike. Versatile Attack. deal d8+6 Magical damage</t>
  </si>
  <si>
    <t>Light_Frame_Wheelchair</t>
  </si>
  <si>
    <t>Magus_Revolver</t>
  </si>
  <si>
    <t>Meridian_Cutlass</t>
  </si>
  <si>
    <t>Duel</t>
  </si>
  <si>
    <t>When there are no other creatures within Close range of the target, gain advantage on your attack roll against them.</t>
  </si>
  <si>
    <t>Midas_Scythe</t>
  </si>
  <si>
    <t>Greedy</t>
  </si>
  <si>
    <t>Spend a handful of gold to gain a +1 bonus to your Proficiency on a damage roll.</t>
  </si>
  <si>
    <t>Parrying_Dagger</t>
  </si>
  <si>
    <t>Parry</t>
  </si>
  <si>
    <t>When you are attacked, roll this weapon's damage dice. If any of the attacker's damage dice rolled the same value as your dice, the matching results are discarded from the attacker's damage dice before the damage you take is totaled.</t>
  </si>
  <si>
    <t>Powered_Gauntlet</t>
  </si>
  <si>
    <t>Mark a Stress to gain a +1 bonus to your Proficiency on a primary weapon attack.</t>
  </si>
  <si>
    <t>Primer_Shard</t>
  </si>
  <si>
    <t>Lock On</t>
  </si>
  <si>
    <t>On a successful attack, your next attack against the same target with your primary weapon automatically succeeds.</t>
  </si>
  <si>
    <t>Rapier</t>
  </si>
  <si>
    <t>Retractable_Saber</t>
  </si>
  <si>
    <t>The blade can be hidden in the hilt to avoid detection.</t>
  </si>
  <si>
    <t>Returning_Axe</t>
  </si>
  <si>
    <t>Returning_Blade</t>
  </si>
  <si>
    <t>Ricochet_Axes</t>
  </si>
  <si>
    <t>Bounce</t>
  </si>
  <si>
    <t>Mark 1 or more Stress to hit that many targets in range of the attack.</t>
  </si>
  <si>
    <t>Runes_of_Ruination</t>
  </si>
  <si>
    <t>Scepter</t>
  </si>
  <si>
    <t>Plant a precise strike. Versatile Attack. deal d8 Magical damage</t>
  </si>
  <si>
    <t>Scepter_of_Elias</t>
  </si>
  <si>
    <t>Invigorate</t>
  </si>
  <si>
    <t>On a successful attack, roll a d4. On a result of 4, clear a Stress.</t>
  </si>
  <si>
    <t>Siphoning_Gauntlets</t>
  </si>
  <si>
    <t>Lifesteal</t>
  </si>
  <si>
    <t>On a successful attack, roll a d6. On a result of 6, clear a Hit Point or clear a Stress.</t>
  </si>
  <si>
    <t>Sledge_Axe</t>
  </si>
  <si>
    <t>Destruction</t>
  </si>
  <si>
    <t>DAGGERHEART.CONFIG.WeaponFeature.destructive.actions.attack.descriptive</t>
  </si>
  <si>
    <t>Spiked_Bow</t>
  </si>
  <si>
    <t>Plant a precise strike. Versatile Attack. deal d10+5 damage</t>
  </si>
  <si>
    <t>Steelforged_Halberd</t>
  </si>
  <si>
    <t>Swinging_Ropeblade</t>
  </si>
  <si>
    <t>Grapple</t>
  </si>
  <si>
    <t>On a successful attack, you can spend a Hope to Restrain the target or pull them into Melee range with you.</t>
  </si>
  <si>
    <t>Sword_of_Light___Flame</t>
  </si>
  <si>
    <t>Hot</t>
  </si>
  <si>
    <t>This weapon cuts through solid material.</t>
  </si>
  <si>
    <t>Talon_Blades</t>
  </si>
  <si>
    <t>Urok_Broadsword</t>
  </si>
  <si>
    <t>Deadly</t>
  </si>
  <si>
    <t>When you deal Severe damage, the target must mark an additional HP.</t>
  </si>
  <si>
    <t>Wand_of_Enthrallment</t>
  </si>
  <si>
    <t>Persuade</t>
  </si>
  <si>
    <t>Before you make a Presence Roll, you can mark a Stress to gain a +2 bonus to the result.</t>
  </si>
  <si>
    <t>Wand_of_Essek</t>
  </si>
  <si>
    <t>Bend Time</t>
  </si>
  <si>
    <t>DAGGERHEART.CONFIG.WeaponFeature.timebending.actions.bendTime.description</t>
  </si>
  <si>
    <t>Whip</t>
  </si>
  <si>
    <t>Widogast_Pendant</t>
  </si>
  <si>
    <t>Yutari_Bloodbow</t>
  </si>
  <si>
    <t>armor</t>
  </si>
  <si>
    <t>consumable</t>
  </si>
  <si>
    <t>domaincard</t>
  </si>
  <si>
    <t>feature</t>
  </si>
  <si>
    <t>loot</t>
  </si>
  <si>
    <t>Weapon Features</t>
  </si>
  <si>
    <t>barrier</t>
  </si>
  <si>
    <t>bonded</t>
  </si>
  <si>
    <t>bouncing</t>
  </si>
  <si>
    <t>brave</t>
  </si>
  <si>
    <t>brutal</t>
  </si>
  <si>
    <t>burning</t>
  </si>
  <si>
    <t>charged</t>
  </si>
  <si>
    <t>concussive</t>
  </si>
  <si>
    <t>deadly</t>
  </si>
  <si>
    <t>deflecting</t>
  </si>
  <si>
    <t>destructive</t>
  </si>
  <si>
    <t>devastating</t>
  </si>
  <si>
    <t>double-duty</t>
  </si>
  <si>
    <t>doubled-up</t>
  </si>
  <si>
    <t>dueling</t>
  </si>
  <si>
    <t>eruptive</t>
  </si>
  <si>
    <t>grappling</t>
  </si>
  <si>
    <t>greedy</t>
  </si>
  <si>
    <t>heavy</t>
  </si>
  <si>
    <t>hooked</t>
  </si>
  <si>
    <t>hot</t>
  </si>
  <si>
    <t>invigorating</t>
  </si>
  <si>
    <t>lifestealing</t>
  </si>
  <si>
    <t>locked-on</t>
  </si>
  <si>
    <t>long</t>
  </si>
  <si>
    <t>lucky</t>
  </si>
  <si>
    <t>massive</t>
  </si>
  <si>
    <t>painful</t>
  </si>
  <si>
    <t>paired</t>
  </si>
  <si>
    <t>parry</t>
  </si>
  <si>
    <t>persuasive</t>
  </si>
  <si>
    <t>pompous</t>
  </si>
  <si>
    <t>powerful</t>
  </si>
  <si>
    <t>protective</t>
  </si>
  <si>
    <t>quick</t>
  </si>
  <si>
    <t>reliable</t>
  </si>
  <si>
    <t>reloading</t>
  </si>
  <si>
    <t>retractable</t>
  </si>
  <si>
    <t>returning</t>
  </si>
  <si>
    <t>scary</t>
  </si>
  <si>
    <t>self-correcting</t>
  </si>
  <si>
    <t>serrated</t>
  </si>
  <si>
    <t>sharpwing</t>
  </si>
  <si>
    <t>sheltering</t>
  </si>
  <si>
    <t>startling</t>
  </si>
  <si>
    <t>timebending</t>
  </si>
  <si>
    <t>Monofilament Whip</t>
  </si>
  <si>
    <t>Cyber Spur</t>
  </si>
  <si>
    <t>Shock Baton</t>
  </si>
  <si>
    <t>Vibro-Knife</t>
  </si>
  <si>
    <t>Smartpistol</t>
  </si>
  <si>
    <t>SMG (Machine Pistol)</t>
  </si>
  <si>
    <t>Assault Rifle</t>
  </si>
  <si>
    <t>Shotgun</t>
  </si>
  <si>
    <t>Sniper Rifle</t>
  </si>
  <si>
    <t>Throwing Knives</t>
  </si>
  <si>
    <t>Fragmentation Grenade</t>
  </si>
  <si>
    <t>EMP Grenade</t>
  </si>
  <si>
    <t>Improved Monofilament Whip</t>
  </si>
  <si>
    <t>Improved Cyber Spur</t>
  </si>
  <si>
    <t>Improved Shock Baton</t>
  </si>
  <si>
    <t>Improved Vibro-Knife</t>
  </si>
  <si>
    <t>Smartpistol Mk II</t>
  </si>
  <si>
    <t>Compact SMG</t>
  </si>
  <si>
    <t>Military Assault Rifle</t>
  </si>
  <si>
    <t>Street Sweeper Shotgun</t>
  </si>
  <si>
    <t>Scoped Sniper Rifle</t>
  </si>
  <si>
    <t>Fragmentation Grenade+</t>
  </si>
  <si>
    <t>EMP Grenade+</t>
  </si>
  <si>
    <t>Corporate Mono-Whip</t>
  </si>
  <si>
    <t>Titanium Cyber Spurs</t>
  </si>
  <si>
    <t>Heavy Shock Baton</t>
  </si>
  <si>
    <t>Combat Vibro-Blade</t>
  </si>
  <si>
    <t>Smartpistol Elite</t>
  </si>
  <si>
    <t>Advanced SMG</t>
  </si>
  <si>
    <t>Advanced Assault Rifle</t>
  </si>
  <si>
    <t>Riot Shotgun</t>
  </si>
  <si>
    <t>Anti-Materiel Sniper</t>
  </si>
  <si>
    <t>Cluster Grenade</t>
  </si>
  <si>
    <t>EMP Cascade</t>
  </si>
  <si>
    <t>Legendary Monofilament Whip</t>
  </si>
  <si>
    <t>Diamond Cyber Spurs</t>
  </si>
  <si>
    <t>Thunder Baton</t>
  </si>
  <si>
    <t>Nano Vibro-Blade</t>
  </si>
  <si>
    <t>Smartpistol Omega</t>
  </si>
  <si>
    <t>Prototype SMG</t>
  </si>
  <si>
    <t>Gauss Rifle</t>
  </si>
  <si>
    <t>Plasma Shotgun</t>
  </si>
  <si>
    <t>Orbital Sniper Rifle</t>
  </si>
  <si>
    <t>Annihilation Grenade</t>
  </si>
  <si>
    <t>EMP Singularity</t>
  </si>
  <si>
    <t>d10</t>
  </si>
  <si>
    <t>d8+1</t>
  </si>
  <si>
    <t>d8+2</t>
  </si>
  <si>
    <t>d6+2</t>
  </si>
  <si>
    <t>d6+3</t>
  </si>
  <si>
    <t>d8+3</t>
  </si>
  <si>
    <t>d10+2</t>
  </si>
  <si>
    <t>d8+4</t>
  </si>
  <si>
    <t>d6+1</t>
  </si>
  <si>
    <t>d12</t>
  </si>
  <si>
    <t>d8</t>
  </si>
  <si>
    <t>d10+4</t>
  </si>
  <si>
    <t>d8+5</t>
  </si>
  <si>
    <t>d6+5</t>
  </si>
  <si>
    <t>d6+6</t>
  </si>
  <si>
    <t>d8+6</t>
  </si>
  <si>
    <t>d12+4</t>
  </si>
  <si>
    <t>d12+6</t>
  </si>
  <si>
    <t>d10+6</t>
  </si>
  <si>
    <t>d10+5</t>
  </si>
  <si>
    <t>d10+7</t>
  </si>
  <si>
    <t>d6+9</t>
  </si>
  <si>
    <t>d10+8</t>
  </si>
  <si>
    <t>d12+8</t>
  </si>
  <si>
    <t>d12+10</t>
  </si>
  <si>
    <t>d12+9</t>
  </si>
  <si>
    <t>d10+10</t>
  </si>
  <si>
    <t>d8+11</t>
  </si>
  <si>
    <t>d12+12</t>
  </si>
  <si>
    <t>d20</t>
  </si>
  <si>
    <t>close</t>
  </si>
  <si>
    <t>far</t>
  </si>
  <si>
    <t>veryClose</t>
  </si>
  <si>
    <t>veryFar</t>
  </si>
  <si>
    <t>finesse</t>
  </si>
  <si>
    <t>instinct</t>
  </si>
  <si>
    <t>presence</t>
  </si>
  <si>
    <t>agility</t>
  </si>
  <si>
    <t>knowledge</t>
  </si>
  <si>
    <t>Core combat modifiers</t>
  </si>
  <si>
    <t>Reliable — “+1 to attack rolls.” Daggerheart SRD</t>
  </si>
  <si>
    <t>Heavy — “–1 to Evasion.” Daggerheart SRD</t>
  </si>
  <si>
    <t>Cumbersome — “–1 to Finesse.” (Appears on halberd/longbow lines.) Note: Spear was corrected in the SRD to not have Cumbersome. daggerheart.org+1</t>
  </si>
  <si>
    <t>Massive — “–1 to Evasion; on a successful attack, roll an additional damage die and discard the lowest result.” (So, advantage-style extra die on damage only.) daggerheart.org</t>
  </si>
  <si>
    <t>Powerful — “On a successful attack, roll an additional damage die and discard the lowest result.” (Like Massive’s damage rider, without the Evasion penalty.) Daggerheart SRD</t>
  </si>
  <si>
    <t>Brutal — “When you roll the maximum value on a damage die, roll an additional damage die.” Daggerheart SRD</t>
  </si>
  <si>
    <t>Quick — “When you make an attack, you can mark a Stress to target another creature within range.” (Adds a second target at a Stress cost.) daggerheart.org</t>
  </si>
  <si>
    <t>Action economy / battlefield control</t>
  </si>
  <si>
    <t>Reloading — “After you make an attack, roll a d6. On a 1, you must mark a Stress to reload this weapon before you can fire it again.” Daggerheart SRD</t>
  </si>
  <si>
    <t>Protective — Adds a flat bonus to Armor Score (e.g., +1, +2, +4 depending on item). Daggerheart SRD</t>
  </si>
  <si>
    <t>Barrier — “+X to Armor Score; –1 to Evasion.” (Tower shields scale the bonus by tier.) Daggerheart SRD</t>
  </si>
  <si>
    <t>Paired — On secondary blades: “+X to primary weapon damage to targets within Melee range” (scales by tier). Daggerheart SRD</t>
  </si>
  <si>
    <t>Returning — Thrown within range, the weapon appears back in your hand after the attack. Daggerheart SRD</t>
  </si>
  <si>
    <t>Versatile — Provides an alternate stat/range/damage line you may use instead (exact alt profile is printed per item). Daggerheart SRD</t>
  </si>
  <si>
    <t>Movement / range manipulation</t>
  </si>
  <si>
    <t>Hooked — “On a successful attack, you can pull the target into Melee range.” Daggerheart SRD</t>
  </si>
  <si>
    <t>Startling — “Mark a Stress to crack the whip and force all adversaries within Melee back to Close range.” Daggerheart SRD</t>
  </si>
  <si>
    <t>Concussive — “On a successful attack, you can spend a Hope to knock the target back to Far range.” daggerheart.org</t>
  </si>
  <si>
    <t>Long — “This weapon’s attack targets all adversaries in a line within range.” daggerheart.org</t>
  </si>
  <si>
    <t>Grappling — “On a successful attack, you can spend a Hope to Restrain the target or pull them into Melee with you.” daggerheart.org</t>
  </si>
  <si>
    <t>Bouncing — “Mark 1 or more Stress to hit that many targets in range of the attack.” daggerheart.org</t>
  </si>
  <si>
    <t>Other notable riders</t>
  </si>
  <si>
    <t>Scary — “On a successful attack, the target must mark a Stress.” daggerheart.org</t>
  </si>
  <si>
    <t>Deadly — “When you deal Severe damage, the target must mark an additional HP.” daggerheart.org</t>
  </si>
  <si>
    <t>Dueling — “When there are no other creatures within Close of the target, gain advantage on your attack roll against them.” daggerheart.org</t>
  </si>
  <si>
    <t>Sharpening — “Gain a bonus to your damage rolls equal to your Agility.” (Feature name varies by item; see Flickerfly Blade.) daggerheart.org</t>
  </si>
  <si>
    <t>Devastating — “Before you make an attack roll, you can mark a Stress to use a d20 as your damage die.” daggerheart.org</t>
  </si>
  <si>
    <t>Brave — “–1 to Evasion; +3 to Severe damage threshold.” daggerheart.org</t>
  </si>
  <si>
    <t>Serrated — “When you roll a 1 on a damage die, it deals 8 damage instead.” daggerheart.org</t>
  </si>
  <si>
    <t>cybernetics</t>
  </si>
  <si>
    <t>True False</t>
  </si>
  <si>
    <t>Burden</t>
  </si>
  <si>
    <t>traits</t>
  </si>
  <si>
    <t>magical</t>
  </si>
  <si>
    <t>critical-effect-name</t>
  </si>
  <si>
    <t>critical-effect</t>
  </si>
  <si>
    <t>Lethal Edge</t>
  </si>
  <si>
    <t xml:space="preserve"> On a Hope win, deal Severe damage if the Fear die shows 8-12.</t>
  </si>
  <si>
    <t>Concealed</t>
  </si>
  <si>
    <t xml:space="preserve"> Can be hidden; gain advantage on your first attack each scene.</t>
  </si>
  <si>
    <t>Stunning</t>
  </si>
  <si>
    <t xml:space="preserve"> Spend a Hope on a successful hit to inflict Dazed for one round.</t>
  </si>
  <si>
    <t>Piercing</t>
  </si>
  <si>
    <t xml:space="preserve"> Ignores armor on a Hope critical.</t>
  </si>
  <si>
    <t>Smartlink</t>
  </si>
  <si>
    <t xml:space="preserve"> Once per scene, reroll one attack die if linked to cyberware/gear.</t>
  </si>
  <si>
    <t>Burst Fire</t>
  </si>
  <si>
    <t xml:space="preserve"> Mark 1 Stress to attack an additional target in Close range.</t>
  </si>
  <si>
    <t>Suppressive Fire</t>
  </si>
  <si>
    <t xml:space="preserve"> On a Hope win, target must mark 1 Stress to act next turn.</t>
  </si>
  <si>
    <t>Scatter</t>
  </si>
  <si>
    <t xml:space="preserve"> Spend a Hope to attack all targets in Very Close range.</t>
  </si>
  <si>
    <t>Scoped</t>
  </si>
  <si>
    <t xml:space="preserve"> Spend a round aiming to gain advantage on next shot.</t>
  </si>
  <si>
    <t>Quick Draw</t>
  </si>
  <si>
    <t xml:space="preserve"> May be used as a reaction against melee attackers.</t>
  </si>
  <si>
    <t>Explosive</t>
  </si>
  <si>
    <t xml:space="preserve"> On Hope win, half damage to all in Close range.</t>
  </si>
  <si>
    <t>Disruptive</t>
  </si>
  <si>
    <t xml:space="preserve"> On hit, drones/tech in range must succeed or shut down 1 round.</t>
  </si>
  <si>
    <t xml:space="preserve"> On a Hope win, upgrade one damage die to max value.</t>
  </si>
  <si>
    <t xml:space="preserve"> Cannot be detected by casual scans.</t>
  </si>
  <si>
    <t>Arc Charge</t>
  </si>
  <si>
    <t xml:space="preserve"> Spend 1 Stress to arc lightning to another Very Close target.</t>
  </si>
  <si>
    <t xml:space="preserve"> Ignores 1 level of armor.</t>
  </si>
  <si>
    <t xml:space="preserve"> Auto-correct; reroll a miss once per scene.</t>
  </si>
  <si>
    <t xml:space="preserve"> Spend Hope to hit two targets in Close range.</t>
  </si>
  <si>
    <t xml:space="preserve"> On Hope win, all enemies in line of fire mark Stress.</t>
  </si>
  <si>
    <t>Wide Scatter</t>
  </si>
  <si>
    <t xml:space="preserve"> Attack all targets in Very Close range once per scene.</t>
  </si>
  <si>
    <t xml:space="preserve"> Aim for advantage; crit chance rises if aiming 1 round.</t>
  </si>
  <si>
    <t xml:space="preserve"> Half damage to adjacent zones.</t>
  </si>
  <si>
    <t xml:space="preserve"> Drones/tech roll at Disadvantage.</t>
  </si>
  <si>
    <t xml:space="preserve"> Can slice through vehicles on Hope crit.</t>
  </si>
  <si>
    <t>Hidden Killer</t>
  </si>
  <si>
    <t xml:space="preserve"> +2 to first attack in combat.</t>
  </si>
  <si>
    <t>Chain Lightning</t>
  </si>
  <si>
    <t xml:space="preserve"> Spend 2 Hope, arc to 2 additional targets.</t>
  </si>
  <si>
    <t>High Frequency</t>
  </si>
  <si>
    <t xml:space="preserve"> +2 to all attack rolls this scene after a hit.</t>
  </si>
  <si>
    <t>Autotarget</t>
  </si>
  <si>
    <t xml:space="preserve"> Always ignore cover.</t>
  </si>
  <si>
    <t>Bulletstorm</t>
  </si>
  <si>
    <t xml:space="preserve"> Once per rest, attack 3 targets in Close.</t>
  </si>
  <si>
    <t>Full Auto</t>
  </si>
  <si>
    <t xml:space="preserve"> Spend Hope, double damage dice.</t>
  </si>
  <si>
    <t>Knockback</t>
  </si>
  <si>
    <t xml:space="preserve"> Push targets back one range band.</t>
  </si>
  <si>
    <t>Penetration</t>
  </si>
  <si>
    <t xml:space="preserve"> Shoot through walls/vehicles.</t>
  </si>
  <si>
    <t>Fragment Split</t>
  </si>
  <si>
    <t xml:space="preserve"> Hit two separate zones.</t>
  </si>
  <si>
    <t>System Overload</t>
  </si>
  <si>
    <t xml:space="preserve"> Devices take 2 rounds to recover.</t>
  </si>
  <si>
    <t>Reality Cut</t>
  </si>
  <si>
    <t xml:space="preserve"> Can slice vehicles, turrets, drones.</t>
  </si>
  <si>
    <t>Ghost Kill</t>
  </si>
  <si>
    <t xml:space="preserve"> Cannot be tracked by sensors.</t>
  </si>
  <si>
    <t>Overdrive</t>
  </si>
  <si>
    <t xml:space="preserve"> Once per rest, stun all enemies in Close range.</t>
  </si>
  <si>
    <t>Self-Sharpening</t>
  </si>
  <si>
    <t xml:space="preserve"> Ignore all armor values.</t>
  </si>
  <si>
    <t>AI Assist</t>
  </si>
  <si>
    <t xml:space="preserve"> Advantage on all ranged rolls.</t>
  </si>
  <si>
    <t>Gyrostabilized</t>
  </si>
  <si>
    <t xml:space="preserve"> Fire with no recoil penalty.</t>
  </si>
  <si>
    <t>Rail Shot</t>
  </si>
  <si>
    <t xml:space="preserve"> Spend Stress to deal double damage dice.</t>
  </si>
  <si>
    <t>Meltdown</t>
  </si>
  <si>
    <t xml:space="preserve"> Spend Hope to add 1d8 burn damage.</t>
  </si>
  <si>
    <t>Satellite Link</t>
  </si>
  <si>
    <t xml:space="preserve"> Call in orbital fire once per rest.</t>
  </si>
  <si>
    <t>Final Boom</t>
  </si>
  <si>
    <t xml:space="preserve"> Single-use, but massive radius.</t>
  </si>
  <si>
    <t>Blackout</t>
  </si>
  <si>
    <t xml:space="preserve"> Kill power grid in 1 km radius once per rest.</t>
  </si>
  <si>
    <t>Slice in Two</t>
  </si>
  <si>
    <t xml:space="preserve"> Sever or disable a limb, item, or piece of cover.</t>
  </si>
  <si>
    <t>Ambush Kill</t>
  </si>
  <si>
    <t xml:space="preserve"> If striking from surprise, escalate Fear consequences for target.</t>
  </si>
  <si>
    <t>Knockout</t>
  </si>
  <si>
    <t xml:space="preserve"> Target is stunned or unconscious for one scene beat.</t>
  </si>
  <si>
    <t>Silent Kill</t>
  </si>
  <si>
    <t xml:space="preserve"> Disable one target silently with no alert escalation.</t>
  </si>
  <si>
    <t>Pinpoint</t>
  </si>
  <si>
    <t xml:space="preserve"> Crit ignores cover; disable weapon/armor.</t>
  </si>
  <si>
    <t>Spray Down</t>
  </si>
  <si>
    <t xml:space="preserve"> Hit all targets in Very Close range with collateral fire.</t>
  </si>
  <si>
    <t>Shredding Burst</t>
  </si>
  <si>
    <t xml:space="preserve"> Force enemy into cover, reducing their next attack roll.</t>
  </si>
  <si>
    <t>Point-Blank Devastation</t>
  </si>
  <si>
    <t xml:space="preserve"> Knock back and lose next action.</t>
  </si>
  <si>
    <t>Through and Through</t>
  </si>
  <si>
    <t xml:space="preserve"> Bullet passes through to a second target in line.</t>
  </si>
  <si>
    <t>Pinning Strike</t>
  </si>
  <si>
    <t>Shrapnel Storm</t>
  </si>
  <si>
    <t xml:space="preserve"> All enemies in area take full damage and mark 1 Stress.</t>
  </si>
  <si>
    <t>Total System Crash</t>
  </si>
  <si>
    <t xml:space="preserve"> All devices in area disabled until end of scene.</t>
  </si>
  <si>
    <t>Severance</t>
  </si>
  <si>
    <t xml:space="preserve"> Cut through armor, restraints, or environmental barriers.</t>
  </si>
  <si>
    <t>Spinal Strike</t>
  </si>
  <si>
    <t xml:space="preserve"> Target is paralyzed for 1 round.</t>
  </si>
  <si>
    <t>Overload</t>
  </si>
  <si>
    <t xml:space="preserve"> Severe damage ignoring defenses.</t>
  </si>
  <si>
    <t>Eye Shot</t>
  </si>
  <si>
    <t xml:space="preserve"> Disable optics or key sensors.</t>
  </si>
  <si>
    <t>Crowd Control</t>
  </si>
  <si>
    <t xml:space="preserve"> Panic/disrupt all enemies in Very Close range.</t>
  </si>
  <si>
    <t>Armor Break</t>
  </si>
  <si>
    <t xml:space="preserve"> Ignore armor; bullets chew through cover.</t>
  </si>
  <si>
    <t>Bone Shaker</t>
  </si>
  <si>
    <t xml:space="preserve"> Target knocked prone and loses next turn.</t>
  </si>
  <si>
    <t xml:space="preserve"> Shot penetrates multiple targets.</t>
  </si>
  <si>
    <t>Massive Detonation</t>
  </si>
  <si>
    <t xml:space="preserve"> Full damage in wider zone (Far).</t>
  </si>
  <si>
    <t>Grid Blackout</t>
  </si>
  <si>
    <t xml:space="preserve"> All tech shuts down until reboot.</t>
  </si>
  <si>
    <t>Corpse-Cutter</t>
  </si>
  <si>
    <t xml:space="preserve"> Destroy one environmental object (door, drone, wall).</t>
  </si>
  <si>
    <t>Critical Tendons</t>
  </si>
  <si>
    <t>System Shutdown</t>
  </si>
  <si>
    <t xml:space="preserve"> Target incapacitated (stun or KO).</t>
  </si>
  <si>
    <t>Fatal Wound</t>
  </si>
  <si>
    <t xml:space="preserve"> Additional 1d12 bleed damage next turn.</t>
  </si>
  <si>
    <t>One-Shot Kill</t>
  </si>
  <si>
    <t xml:space="preserve"> Severe damage ignoring all armor.</t>
  </si>
  <si>
    <t>Suppression Killzone</t>
  </si>
  <si>
    <t xml:space="preserve"> Enemies must Retreat or mark Stress.</t>
  </si>
  <si>
    <t>Critical Barrage</t>
  </si>
  <si>
    <t xml:space="preserve"> Mow down cover, forcing enemies into open.</t>
  </si>
  <si>
    <t>Concussive Blast</t>
  </si>
  <si>
    <t xml:space="preserve"> Stun all in Close cone.</t>
  </si>
  <si>
    <t xml:space="preserve"> Instantly remove non-boss foe.</t>
  </si>
  <si>
    <t>Kill Zone</t>
  </si>
  <si>
    <t xml:space="preserve"> Full damage in all adjacent zones.</t>
  </si>
  <si>
    <t>Matrix Burnout</t>
  </si>
  <si>
    <t xml:space="preserve"> Deckers hit take HP damage directly.</t>
  </si>
  <si>
    <t>Sever Reality</t>
  </si>
  <si>
    <t>Spinal Sever</t>
  </si>
  <si>
    <t xml:space="preserve"> Target permanently disabled unless cybernetically healed.</t>
  </si>
  <si>
    <t>EMP Surge</t>
  </si>
  <si>
    <t xml:space="preserve"> Wipe out all small electronics in scene.</t>
  </si>
  <si>
    <t>Critical Dissection</t>
  </si>
  <si>
    <t xml:space="preserve"> Narratively kill or disable any single non-boss foe.</t>
  </si>
  <si>
    <t>Neural Kill</t>
  </si>
  <si>
    <t xml:space="preserve"> Bullet bypasses physical armor; deals Stress + HP.</t>
  </si>
  <si>
    <t>Critical Spray</t>
  </si>
  <si>
    <t xml:space="preserve"> Hit all enemies in Close range automatically.</t>
  </si>
  <si>
    <t>Hyper-Pierce</t>
  </si>
  <si>
    <t xml:space="preserve"> Shot tears through multiple enemies/vehicles in a line.</t>
  </si>
  <si>
    <t>Critical Inferno</t>
  </si>
  <si>
    <t xml:space="preserve"> All targets in blast zone catch fire.</t>
  </si>
  <si>
    <t>Tactical Nuke (Micro)</t>
  </si>
  <si>
    <t>System Collapse</t>
  </si>
  <si>
    <t xml:space="preserve"> Entire Matrix zone crashes beyond repair.</t>
  </si>
  <si>
    <t>A razor-thin filament coil capable of slicing through armor and bone. Deadly, silent, and banned in most civilized zones.</t>
  </si>
  <si>
    <t>A retractable blade hidden in the user’s forearm, perfect for sudden, lethal strikes in close quarters.</t>
  </si>
  <si>
    <t>A polymer club fitted with a high-voltage capacitor, used by corp security and riot control alike.</t>
  </si>
  <si>
    <t>A short combat blade that hums at ultrasonic speed, capable of piercing armor with surgical precision.</t>
  </si>
  <si>
    <t>Compact sidearm with digital targeting and auto-adjust systems, favored by professional runners.</t>
  </si>
  <si>
    <t>Lightweight submachine gun optimized for close-quarters burst fire; loud, fast, and unforgiving.</t>
  </si>
  <si>
    <t>The runner’s staple: reliable, lethal, and adaptable across every corporate warzone on Earth.</t>
  </si>
  <si>
    <t>Brutal close-range weapon that clears hallways with concussive thunder and devastating scatter.</t>
  </si>
  <si>
    <t>Precision weapon built for the patient killer — silent, steady, and unerring over long distances.</t>
  </si>
  <si>
    <t>Balanced steel blades designed for silent takedowns or distraction in the shadows.</t>
  </si>
  <si>
    <t>A high-yield fragmentation device scattering lethal shrapnel in every direction.</t>
  </si>
  <si>
    <t>Pulse emitter that fries circuits, drones, and cyberware with a single electromagnetic burst.</t>
  </si>
  <si>
    <t>A reinforced filament with servo control for higher cutting torque and unmatched lethality.</t>
  </si>
  <si>
    <t>Enhanced retractable spurs forged from titanium alloy, near undetectable by security scanners.</t>
  </si>
  <si>
    <t>Upgraded battery coils deliver chained electrical arcs between multiple nearby targets.</t>
  </si>
  <si>
    <t>Precision-tuned vibration edge allows for armor penetration and silent, efficient kills.</t>
  </si>
  <si>
    <t>Improved ballistic computer with predictive recoil compensation and infrared tracking.</t>
  </si>
  <si>
    <t>A miniaturized submachine gun favored by covert teams — concealable but vicious in a firefight.</t>
  </si>
  <si>
    <t>Hardened composite frame with select-fire and tactical uplink for squad-level coordination.</t>
  </si>
  <si>
    <t>Heavy drum-fed shotgun designed to clear rooms and alleys in seconds.</t>
  </si>
  <si>
    <t>Enhanced optics suite allows bullet trajectory correction and real-time target telemetry.</t>
  </si>
  <si>
    <t>Factory-tuned military variant with denser shrapnel spread and wider kill radius.</t>
  </si>
  <si>
    <t>Improved electromagnetic charge capable of disabling entire comm grids in seconds.</t>
  </si>
  <si>
    <t>A high-grade monofilament weapon issued to elite corp assassins — silent, perfect, final.</t>
  </si>
  <si>
    <t>Polished titanium spurs with self-cleaning servos and monomolecular precision edges.</t>
  </si>
  <si>
    <t>Industrial security baton capable of stunning cybernetic brutes and armored enforcers alike.</t>
  </si>
  <si>
    <t>Balanced for extended melee, this knife hums with a subsonic pulse designed for battlefield chaos.</t>
  </si>
  <si>
    <t>High-end model linked directly to neural networks for predictive targeting.</t>
  </si>
  <si>
    <t>Modular close-combat firearm with smart recoil dampers and ammo tracking.</t>
  </si>
  <si>
    <t>Elite-issue firearm capable of sustained fire with minimal barrel drift.</t>
  </si>
  <si>
    <t>Crowd-control platform launching high-impact kinetic or shock shells to suppress hostiles.</t>
  </si>
  <si>
    <t>Long-range rail weapon capable of puncturing vehicles, mechs, and even bunkers.</t>
  </si>
  <si>
    <t>A multi-charge fragmentation device that detonates across several zones at once.</t>
  </si>
  <si>
    <t>A cascading EMP charge that disables all systems across multiple networks simultaneously.</t>
  </si>
  <si>
    <t>The apex of weaponized filaments, capable of cutting through armor, steel, or reality itself.</t>
  </si>
  <si>
    <t>Mirror-finish diamond-tipped spurs designed for surgical precision and absolute silence.</t>
  </si>
  <si>
    <t>Electrified shock weapon tuned for area suppression, discharging arcs of blinding light and sound.</t>
  </si>
  <si>
    <t>A nano-edged weapon that self-sharpens at the molecular level, slicing even through armor plating.</t>
  </si>
  <si>
    <t>An AI-driven sidearm that learns its wielder’s habits and compensates perfectly in combat.</t>
  </si>
  <si>
    <t>Experimental gyro-balanced SMG capable of recoil-free sustained bursts.</t>
  </si>
  <si>
    <t>Magnetic accelerator weapon firing hyper-velocity projectiles that punch through anything solid.</t>
  </si>
  <si>
    <t>Fires superheated plasma shells that vaporize targets and ignite the surrounding area.</t>
  </si>
  <si>
    <t>A satellite-linked rifle capable of marking and calling down orbital strikes.</t>
  </si>
  <si>
    <t>Compact tactical nuke delivering utter destruction in a small, precise radius.</t>
  </si>
  <si>
    <t>A massive EMP charge that disables all systems across multiple networks simultaneously within Very Far range</t>
  </si>
  <si>
    <t>Assassins Cut</t>
  </si>
  <si>
    <t>Executioners Shot</t>
  </si>
  <si>
    <t xml:space="preserve"> Pin targets limb, weapon, or clothing, restricting movement.</t>
  </si>
  <si>
    <t xml:space="preserve"> Targets nervous system locks up; they drop gear.</t>
  </si>
  <si>
    <t xml:space="preserve"> Cripple targets mobility permanently.</t>
  </si>
  <si>
    <t>Heavens Lance</t>
  </si>
  <si>
    <t xml:space="preserve"> Obliterate target zone, GM narrates consequences.</t>
  </si>
  <si>
    <t xml:space="preserve"> Slice environment  create a permanent gap or hazard.</t>
  </si>
  <si>
    <t xml:space="preserve"> Entire area wiped  citywide consequences.</t>
  </si>
  <si>
    <t>cybermancy-feature-name</t>
  </si>
  <si>
    <t>cybermancy-feature-effect</t>
  </si>
  <si>
    <t>feature-img</t>
  </si>
  <si>
    <t>critical-effect-img</t>
  </si>
  <si>
    <t>modules/cybermancy/assets/icons/weapons/axes/axe-double-jagged-black.webp</t>
  </si>
  <si>
    <t>modules/cybermancy/assets/icons/weapons/monofilament-whip.webp</t>
  </si>
  <si>
    <t>modules/cybermancy/assets/icons/weapons/cyber-spur.webp</t>
  </si>
  <si>
    <t>modules/cybermancy/assets/icons/weapons/shock-baton.webp</t>
  </si>
  <si>
    <t>modules/cybermancy/assets/icons/weapons/vibro-knife.webp</t>
  </si>
  <si>
    <t>modules/cybermancy/assets/icons/weapons/smartpistol.webp</t>
  </si>
  <si>
    <t>modules/cybermancy/assets/icons/weapons/smg-machine-pistol.webp</t>
  </si>
  <si>
    <t>modules/cybermancy/assets/icons/weapons/assault-rifle.webp</t>
  </si>
  <si>
    <t>modules/cybermancy/assets/icons/weapons/shotgun.webp</t>
  </si>
  <si>
    <t>modules/cybermancy/assets/icons/weapons/sniper-rifle.webp</t>
  </si>
  <si>
    <t>modules/cybermancy/assets/icons/weapons/throwing-knives.webp</t>
  </si>
  <si>
    <t>modules/cybermancy/assets/icons/weapons/fragmentation-grenade.webp</t>
  </si>
  <si>
    <t>modules/cybermancy/assets/icons/weapons/emp-grenade.webp</t>
  </si>
  <si>
    <t>modules/cybermancy/assets/icons/weapons/improved-monofilament-whip.webp</t>
  </si>
  <si>
    <t>modules/cybermancy/assets/icons/weapons/improved-cyber-spur.webp</t>
  </si>
  <si>
    <t>modules/cybermancy/assets/icons/weapons/improved-shock-baton.webp</t>
  </si>
  <si>
    <t>modules/cybermancy/assets/icons/weapons/improved-vibro-knife.webp</t>
  </si>
  <si>
    <t>modules/cybermancy/assets/icons/weapons/smartpistol-mk-ii.webp</t>
  </si>
  <si>
    <t>modules/cybermancy/assets/icons/weapons/compact-smg.webp</t>
  </si>
  <si>
    <t>modules/cybermancy/assets/icons/weapons/military-assault-rifle.webp</t>
  </si>
  <si>
    <t>modules/cybermancy/assets/icons/weapons/street-sweeper-shotgun.webp</t>
  </si>
  <si>
    <t>modules/cybermancy/assets/icons/weapons/scoped-sniper-rifle.webp</t>
  </si>
  <si>
    <t>modules/cybermancy/assets/icons/weapons/fragmentation-grenade-plus.webp</t>
  </si>
  <si>
    <t>modules/cybermancy/assets/icons/weapons/emp-grenade-plus.webp</t>
  </si>
  <si>
    <t>modules/cybermancy/assets/icons/weapons/corporate-mono-whip.webp</t>
  </si>
  <si>
    <t>modules/cybermancy/assets/icons/weapons/titanium-cyber-spurs.webp</t>
  </si>
  <si>
    <t>modules/cybermancy/assets/icons/weapons/heavy-shock-baton.webp</t>
  </si>
  <si>
    <t>modules/cybermancy/assets/icons/weapons/combat-vibro-blade.webp</t>
  </si>
  <si>
    <t>modules/cybermancy/assets/icons/weapons/smartpistol-elite.webp</t>
  </si>
  <si>
    <t>modules/cybermancy/assets/icons/weapons/advanced-smg.webp</t>
  </si>
  <si>
    <t>modules/cybermancy/assets/icons/weapons/advanced-assault-rifle.webp</t>
  </si>
  <si>
    <t>modules/cybermancy/assets/icons/weapons/riot-shotgun.webp</t>
  </si>
  <si>
    <t>modules/cybermancy/assets/icons/weapons/anti-materiel-sniper.webp</t>
  </si>
  <si>
    <t>modules/cybermancy/assets/icons/weapons/cluster-grenade.webp</t>
  </si>
  <si>
    <t>modules/cybermancy/assets/icons/weapons/emp-cascade.webp</t>
  </si>
  <si>
    <t>modules/cybermancy/assets/icons/weapons/legendary-monofilament-whip.webp</t>
  </si>
  <si>
    <t>modules/cybermancy/assets/icons/weapons/diamond-cyber-spurs.webp</t>
  </si>
  <si>
    <t>modules/cybermancy/assets/icons/weapons/thunder-baton.webp</t>
  </si>
  <si>
    <t>modules/cybermancy/assets/icons/weapons/nano-vibro-blade.webp</t>
  </si>
  <si>
    <t>modules/cybermancy/assets/icons/weapons/smartpistol-omega.webp</t>
  </si>
  <si>
    <t>modules/cybermancy/assets/icons/weapons/prototype-smg.webp</t>
  </si>
  <si>
    <t>modules/cybermancy/assets/icons/weapons/gauss-rifle.webp</t>
  </si>
  <si>
    <t>modules/cybermancy/assets/icons/weapons/plasma-shotgun.webp</t>
  </si>
  <si>
    <t>modules/cybermancy/assets/icons/weapons/orbital-sniper-rifle.webp</t>
  </si>
  <si>
    <t>modules/cybermancy/assets/icons/weapons/annihilation-grenade.webp</t>
  </si>
  <si>
    <t>modules/cybermancy/assets/icons/weapons/emp-singularity.webp</t>
  </si>
  <si>
    <t>modules/cybermancy/assets/icons/features/lethal-edge.webp</t>
  </si>
  <si>
    <t>modules/cybermancy/assets/icons/features/concealed.webp</t>
  </si>
  <si>
    <t>modules/cybermancy/assets/icons/features/stunning.webp</t>
  </si>
  <si>
    <t>modules/cybermancy/assets/icons/features/piercing.webp</t>
  </si>
  <si>
    <t>modules/cybermancy/assets/icons/features/smartlink.webp</t>
  </si>
  <si>
    <t>modules/cybermancy/assets/icons/weapons-feature/burst-fire.webp</t>
  </si>
  <si>
    <t>modules/cybermancy/assets/icons/weapons-feature/suppressive-fire.webp</t>
  </si>
  <si>
    <t>modules/cybermancy/assets/icons/weapons-feature/scatter.webp</t>
  </si>
  <si>
    <t>modules/cybermancy/assets/icons/weapons-feature/scoped.webp</t>
  </si>
  <si>
    <t>modules/cybermancy/assets/icons/weapons-feature/quick-draw.webp</t>
  </si>
  <si>
    <t>modules/cybermancy/assets/icons/weapons-feature/explosive.webp</t>
  </si>
  <si>
    <t>modules/cybermancy/assets/icons/weapons-feature/disruptive.webp</t>
  </si>
  <si>
    <t>modules/cybermancy/assets/icons/weapons-feature/lethal-edge.webp</t>
  </si>
  <si>
    <t>modules/cybermancy/assets/icons/weapons-feature/concealed.webp</t>
  </si>
  <si>
    <t>modules/cybermancy/assets/icons/weapons-feature/arc-charge.webp</t>
  </si>
  <si>
    <t>modules/cybermancy/assets/icons/weapons-feature/piercing.webp</t>
  </si>
  <si>
    <t>modules/cybermancy/assets/icons/weapons-feature/smartlink.webp</t>
  </si>
  <si>
    <t>modules/cybermancy/assets/icons/weapons-feature/wide-scatter.webp</t>
  </si>
  <si>
    <t>modules/cybermancy/assets/icons/weapons-feature/hidden-killer.webp</t>
  </si>
  <si>
    <t>modules/cybermancy/assets/icons/weapons-feature/chain-lightning.webp</t>
  </si>
  <si>
    <t>modules/cybermancy/assets/icons/weapons-feature/high-frequency.webp</t>
  </si>
  <si>
    <t>modules/cybermancy/assets/icons/weapons-feature/autotarget.webp</t>
  </si>
  <si>
    <t>modules/cybermancy/assets/icons/weapons-feature/bulletstorm.webp</t>
  </si>
  <si>
    <t>modules/cybermancy/assets/icons/weapons-feature/full-auto.webp</t>
  </si>
  <si>
    <t>modules/cybermancy/assets/icons/weapons-feature/knockback.webp</t>
  </si>
  <si>
    <t>modules/cybermancy/assets/icons/weapons-feature/penetration.webp</t>
  </si>
  <si>
    <t>modules/cybermancy/assets/icons/weapons-feature/fragment-split.webp</t>
  </si>
  <si>
    <t>modules/cybermancy/assets/icons/weapons-feature/system-overload.webp</t>
  </si>
  <si>
    <t>modules/cybermancy/assets/icons/weapons-feature/reality-cut.webp</t>
  </si>
  <si>
    <t>modules/cybermancy/assets/icons/weapons-feature/ghost-kill.webp</t>
  </si>
  <si>
    <t>modules/cybermancy/assets/icons/weapons-feature/overdrive.webp</t>
  </si>
  <si>
    <t>modules/cybermancy/assets/icons/weapons-feature/self-sharpening.webp</t>
  </si>
  <si>
    <t>modules/cybermancy/assets/icons/weapons-feature/ai-assist.webp</t>
  </si>
  <si>
    <t>modules/cybermancy/assets/icons/weapons-feature/gyrostabilized.webp</t>
  </si>
  <si>
    <t>modules/cybermancy/assets/icons/weapons-feature/rail-shot.webp</t>
  </si>
  <si>
    <t>modules/cybermancy/assets/icons/weapons-feature/meltdown.webp</t>
  </si>
  <si>
    <t>modules/cybermancy/assets/icons/weapons-feature/satellite-link.webp</t>
  </si>
  <si>
    <t>modules/cybermancy/assets/icons/weapons-feature/final-boom.webp</t>
  </si>
  <si>
    <t>modules/cybermancy/assets/icons/weapons-feature/blackout.webp</t>
  </si>
  <si>
    <t>modules/cybermancy/assets/icons/features/slice-in-two.webp</t>
  </si>
  <si>
    <t>modules/cybermancy/assets/icons/features/ambush-kill.webp</t>
  </si>
  <si>
    <t>modules/cybermancy/assets/icons/features/knockout.webp</t>
  </si>
  <si>
    <t>modules/cybermancy/assets/icons/features/silent-kill.webp</t>
  </si>
  <si>
    <t>modules/cybermancy/assets/icons/features/pinpoint.webp</t>
  </si>
  <si>
    <t>modules/cybermancy/assets/icons/features/spray-down.webp</t>
  </si>
  <si>
    <t>modules/cybermancy/assets/icons/features/shredding-burst.webp</t>
  </si>
  <si>
    <t>modules/cybermancy/assets/icons/features/point-blank-devastation.webp</t>
  </si>
  <si>
    <t>modules/cybermancy/assets/icons/features/through-and-through.webp</t>
  </si>
  <si>
    <t>modules/cybermancy/assets/icons/features/pinning-strike.webp</t>
  </si>
  <si>
    <t>modules/cybermancy/assets/icons/features/shrapnel-storm.webp</t>
  </si>
  <si>
    <t>modules/cybermancy/assets/icons/features/total-system-crash.webp</t>
  </si>
  <si>
    <t>modules/cybermancy/assets/icons/features/severance.webp</t>
  </si>
  <si>
    <t>modules/cybermancy/assets/icons/features/spinal-strike.webp</t>
  </si>
  <si>
    <t>modules/cybermancy/assets/icons/features/overload.webp</t>
  </si>
  <si>
    <t>modules/cybermancy/assets/icons/features/assassins-cut.webp</t>
  </si>
  <si>
    <t>modules/cybermancy/assets/icons/features/eye-shot.webp</t>
  </si>
  <si>
    <t>modules/cybermancy/assets/icons/features/crowd-control.webp</t>
  </si>
  <si>
    <t>modules/cybermancy/assets/icons/features/armor-break.webp</t>
  </si>
  <si>
    <t>modules/cybermancy/assets/icons/features/bone-shaker.webp</t>
  </si>
  <si>
    <t>modules/cybermancy/assets/icons/features/massive-detonation.webp</t>
  </si>
  <si>
    <t>modules/cybermancy/assets/icons/features/grid-blackout.webp</t>
  </si>
  <si>
    <t>modules/cybermancy/assets/icons/features/corpse-cutter.webp</t>
  </si>
  <si>
    <t>modules/cybermancy/assets/icons/features/critical-tendons.webp</t>
  </si>
  <si>
    <t>modules/cybermancy/assets/icons/features/system-shutdown.webp</t>
  </si>
  <si>
    <t>modules/cybermancy/assets/icons/features/fatal-wound.webp</t>
  </si>
  <si>
    <t>modules/cybermancy/assets/icons/features/one-shot-kill.webp</t>
  </si>
  <si>
    <t>modules/cybermancy/assets/icons/features/suppression-killzone.webp</t>
  </si>
  <si>
    <t>modules/cybermancy/assets/icons/features/critical-barrage.webp</t>
  </si>
  <si>
    <t>modules/cybermancy/assets/icons/features/concussive-blast.webp</t>
  </si>
  <si>
    <t>modules/cybermancy/assets/icons/features/executioners-shot.webp</t>
  </si>
  <si>
    <t>modules/cybermancy/assets/icons/features/kill-zone.webp</t>
  </si>
  <si>
    <t>modules/cybermancy/assets/icons/features/matrix-burnout.webp</t>
  </si>
  <si>
    <t>modules/cybermancy/assets/icons/features/sever-reality.webp</t>
  </si>
  <si>
    <t>modules/cybermancy/assets/icons/features/spinal-sever.webp</t>
  </si>
  <si>
    <t>modules/cybermancy/assets/icons/features/emp-surge.webp</t>
  </si>
  <si>
    <t>modules/cybermancy/assets/icons/features/critical-dissection.webp</t>
  </si>
  <si>
    <t>modules/cybermancy/assets/icons/features/neural-kill.webp</t>
  </si>
  <si>
    <t>modules/cybermancy/assets/icons/features/critical-spray.webp</t>
  </si>
  <si>
    <t>modules/cybermancy/assets/icons/features/hyper-pierce.webp</t>
  </si>
  <si>
    <t>modules/cybermancy/assets/icons/features/critical-inferno.webp</t>
  </si>
  <si>
    <t>modules/cybermancy/assets/icons/features/heavens-lance.webp</t>
  </si>
  <si>
    <t>modules/cybermancy/assets/icons/features/system-collapse.webp</t>
  </si>
  <si>
    <t>modules/cybermancy/assets/icons/features/tactical-nuke-micro.webp</t>
  </si>
  <si>
    <r>
      <t>Flexible</t>
    </r>
    <r>
      <rPr>
        <sz val="11"/>
        <color theme="1"/>
        <rFont val="Aptos Narrow"/>
        <family val="2"/>
        <scheme val="minor"/>
      </rPr>
      <t xml:space="preserve"> — “+1 to Evasion.”</t>
    </r>
  </si>
  <si>
    <t>Foundryborne: passive +1 Evasion when the item is equipped. daggerheart.org</t>
  </si>
  <si>
    <r>
      <t>Heavy</t>
    </r>
    <r>
      <rPr>
        <sz val="11"/>
        <color theme="1"/>
        <rFont val="Aptos Narrow"/>
        <family val="2"/>
        <scheme val="minor"/>
      </rPr>
      <t xml:space="preserve"> — “−1 to Evasion.”</t>
    </r>
  </si>
  <si>
    <t>Foundryborne: passive −1 Evasion on equip. daggerheart.org</t>
  </si>
  <si>
    <r>
      <t>Very Heavy</t>
    </r>
    <r>
      <rPr>
        <sz val="11"/>
        <color theme="1"/>
        <rFont val="Aptos Narrow"/>
        <family val="2"/>
        <scheme val="minor"/>
      </rPr>
      <t xml:space="preserve"> — “−2 to Evasion; −1 to Agility.”</t>
    </r>
  </si>
  <si>
    <t>Foundryborne: passive penalties applied while equipped. daggerheart.org</t>
  </si>
  <si>
    <r>
      <t>Resilient</t>
    </r>
    <r>
      <rPr>
        <sz val="11"/>
        <color theme="1"/>
        <rFont val="Aptos Narrow"/>
        <family val="2"/>
        <scheme val="minor"/>
      </rPr>
      <t xml:space="preserve"> — Before you’d </t>
    </r>
    <r>
      <rPr>
        <b/>
        <sz val="11"/>
        <color theme="1"/>
        <rFont val="Aptos Narrow"/>
        <family val="2"/>
        <scheme val="minor"/>
      </rPr>
      <t>mark your last Armor Slot</t>
    </r>
    <r>
      <rPr>
        <sz val="11"/>
        <color theme="1"/>
        <rFont val="Aptos Narrow"/>
        <family val="2"/>
        <scheme val="minor"/>
      </rPr>
      <t xml:space="preserve">, roll d6; on a </t>
    </r>
    <r>
      <rPr>
        <b/>
        <sz val="11"/>
        <color theme="1"/>
        <rFont val="Aptos Narrow"/>
        <family val="2"/>
        <scheme val="minor"/>
      </rPr>
      <t>6</t>
    </r>
    <r>
      <rPr>
        <sz val="11"/>
        <color theme="1"/>
        <rFont val="Aptos Narrow"/>
        <family val="2"/>
        <scheme val="minor"/>
      </rPr>
      <t xml:space="preserve">, reduce the severity by one threshold </t>
    </r>
    <r>
      <rPr>
        <b/>
        <sz val="11"/>
        <color theme="1"/>
        <rFont val="Aptos Narrow"/>
        <family val="2"/>
        <scheme val="minor"/>
      </rPr>
      <t>without</t>
    </r>
    <r>
      <rPr>
        <sz val="11"/>
        <color theme="1"/>
        <rFont val="Aptos Narrow"/>
        <family val="2"/>
        <scheme val="minor"/>
      </rPr>
      <t xml:space="preserve"> marking the slot.</t>
    </r>
  </si>
  <si>
    <t>Foundryborne: a triggered effect at the “last slot” moment; GMs/players click/roll to resolve. daggerheart.org</t>
  </si>
  <si>
    <r>
      <t>Reinforced</t>
    </r>
    <r>
      <rPr>
        <sz val="11"/>
        <color theme="1"/>
        <rFont val="Aptos Narrow"/>
        <family val="2"/>
        <scheme val="minor"/>
      </rPr>
      <t xml:space="preserve"> — When you </t>
    </r>
    <r>
      <rPr>
        <b/>
        <sz val="11"/>
        <color theme="1"/>
        <rFont val="Aptos Narrow"/>
        <family val="2"/>
        <scheme val="minor"/>
      </rPr>
      <t>mark your last Armor Slot</t>
    </r>
    <r>
      <rPr>
        <sz val="11"/>
        <color theme="1"/>
        <rFont val="Aptos Narrow"/>
        <family val="2"/>
        <scheme val="minor"/>
      </rPr>
      <t xml:space="preserve">, increase your damage thresholds by </t>
    </r>
    <r>
      <rPr>
        <b/>
        <sz val="11"/>
        <color theme="1"/>
        <rFont val="Aptos Narrow"/>
        <family val="2"/>
        <scheme val="minor"/>
      </rPr>
      <t>+2</t>
    </r>
    <r>
      <rPr>
        <sz val="11"/>
        <color theme="1"/>
        <rFont val="Aptos Narrow"/>
        <family val="2"/>
        <scheme val="minor"/>
      </rPr>
      <t xml:space="preserve"> until you clear at least 1 slot.</t>
    </r>
  </si>
  <si>
    <t>Foundryborne: stateful buff after last-slot is marked; clear it when you free a slot. daggerheart.org</t>
  </si>
  <si>
    <r>
      <t>Shifting</t>
    </r>
    <r>
      <rPr>
        <sz val="11"/>
        <color theme="1"/>
        <rFont val="Aptos Narrow"/>
        <family val="2"/>
        <scheme val="minor"/>
      </rPr>
      <t xml:space="preserve"> — When targeted for an attack, you may </t>
    </r>
    <r>
      <rPr>
        <b/>
        <sz val="11"/>
        <color theme="1"/>
        <rFont val="Aptos Narrow"/>
        <family val="2"/>
        <scheme val="minor"/>
      </rPr>
      <t>mark an Armor Slot</t>
    </r>
    <r>
      <rPr>
        <sz val="11"/>
        <color theme="1"/>
        <rFont val="Aptos Narrow"/>
        <family val="2"/>
        <scheme val="minor"/>
      </rPr>
      <t xml:space="preserve"> to give the attack roll </t>
    </r>
    <r>
      <rPr>
        <b/>
        <sz val="11"/>
        <color theme="1"/>
        <rFont val="Aptos Narrow"/>
        <family val="2"/>
        <scheme val="minor"/>
      </rPr>
      <t>disadvantage</t>
    </r>
    <r>
      <rPr>
        <sz val="11"/>
        <color theme="1"/>
        <rFont val="Aptos Narrow"/>
        <family val="2"/>
        <scheme val="minor"/>
      </rPr>
      <t>.</t>
    </r>
  </si>
  <si>
    <t>Foundryborne: spend-to-toggle disadvantage on the incoming roll. daggerheart.org</t>
  </si>
  <si>
    <r>
      <t>Quiet</t>
    </r>
    <r>
      <rPr>
        <sz val="11"/>
        <color theme="1"/>
        <rFont val="Aptos Narrow"/>
        <family val="2"/>
        <scheme val="minor"/>
      </rPr>
      <t xml:space="preserve"> — </t>
    </r>
    <r>
      <rPr>
        <b/>
        <sz val="11"/>
        <color theme="1"/>
        <rFont val="Aptos Narrow"/>
        <family val="2"/>
        <scheme val="minor"/>
      </rPr>
      <t>+2</t>
    </r>
    <r>
      <rPr>
        <sz val="11"/>
        <color theme="1"/>
        <rFont val="Aptos Narrow"/>
        <family val="2"/>
        <scheme val="minor"/>
      </rPr>
      <t xml:space="preserve"> to rolls to move silently.</t>
    </r>
  </si>
  <si>
    <t>Foundryborne: passive situational bonus (GM applies/sets advantage as needed). daggerheart.org</t>
  </si>
  <si>
    <r>
      <t>Hopeful</t>
    </r>
    <r>
      <rPr>
        <sz val="11"/>
        <color theme="1"/>
        <rFont val="Aptos Narrow"/>
        <family val="2"/>
        <scheme val="minor"/>
      </rPr>
      <t xml:space="preserve"> — When you would </t>
    </r>
    <r>
      <rPr>
        <b/>
        <sz val="11"/>
        <color theme="1"/>
        <rFont val="Aptos Narrow"/>
        <family val="2"/>
        <scheme val="minor"/>
      </rPr>
      <t>spend a Hope</t>
    </r>
    <r>
      <rPr>
        <sz val="11"/>
        <color theme="1"/>
        <rFont val="Aptos Narrow"/>
        <family val="2"/>
        <scheme val="minor"/>
      </rPr>
      <t xml:space="preserve">, you can </t>
    </r>
    <r>
      <rPr>
        <b/>
        <sz val="11"/>
        <color theme="1"/>
        <rFont val="Aptos Narrow"/>
        <family val="2"/>
        <scheme val="minor"/>
      </rPr>
      <t>mark an Armor Slot</t>
    </r>
    <r>
      <rPr>
        <sz val="11"/>
        <color theme="1"/>
        <rFont val="Aptos Narrow"/>
        <family val="2"/>
        <scheme val="minor"/>
      </rPr>
      <t xml:space="preserve"> instead.</t>
    </r>
  </si>
  <si>
    <t>Foundryborne: replacement cost; mark slot instead of spending Hope. daggerheart.org</t>
  </si>
  <si>
    <r>
      <t>Warded</t>
    </r>
    <r>
      <rPr>
        <sz val="11"/>
        <color theme="1"/>
        <rFont val="Aptos Narrow"/>
        <family val="2"/>
        <scheme val="minor"/>
      </rPr>
      <t xml:space="preserve"> — You </t>
    </r>
    <r>
      <rPr>
        <b/>
        <sz val="11"/>
        <color theme="1"/>
        <rFont val="Aptos Narrow"/>
        <family val="2"/>
        <scheme val="minor"/>
      </rPr>
      <t>reduce incoming magic damage by your Armor Score</t>
    </r>
    <r>
      <rPr>
        <sz val="11"/>
        <color theme="1"/>
        <rFont val="Aptos Narrow"/>
        <family val="2"/>
        <scheme val="minor"/>
      </rPr>
      <t xml:space="preserve"> before applying to thresholds.</t>
    </r>
  </si>
  <si>
    <t>Foundryborne: subtract Armor Score from magic damage first, then resolve thresholds. daggerheart.org</t>
  </si>
  <si>
    <r>
      <t>Gilded</t>
    </r>
    <r>
      <rPr>
        <sz val="11"/>
        <color theme="1"/>
        <rFont val="Aptos Narrow"/>
        <family val="2"/>
        <scheme val="minor"/>
      </rPr>
      <t xml:space="preserve"> — </t>
    </r>
    <r>
      <rPr>
        <b/>
        <sz val="11"/>
        <color theme="1"/>
        <rFont val="Aptos Narrow"/>
        <family val="2"/>
        <scheme val="minor"/>
      </rPr>
      <t>+1 to Presence.</t>
    </r>
  </si>
  <si>
    <t>Foundryborne: passive +1 Presence while equipped. daggerheart.org</t>
  </si>
  <si>
    <r>
      <t>Impenetrable</t>
    </r>
    <r>
      <rPr>
        <sz val="11"/>
        <color theme="1"/>
        <rFont val="Aptos Narrow"/>
        <family val="2"/>
        <scheme val="minor"/>
      </rPr>
      <t xml:space="preserve"> — Once per short rest, when you’d </t>
    </r>
    <r>
      <rPr>
        <b/>
        <sz val="11"/>
        <color theme="1"/>
        <rFont val="Aptos Narrow"/>
        <family val="2"/>
        <scheme val="minor"/>
      </rPr>
      <t>mark your last Hit Point</t>
    </r>
    <r>
      <rPr>
        <sz val="11"/>
        <color theme="1"/>
        <rFont val="Aptos Narrow"/>
        <family val="2"/>
        <scheme val="minor"/>
      </rPr>
      <t xml:space="preserve">, you can </t>
    </r>
    <r>
      <rPr>
        <b/>
        <sz val="11"/>
        <color theme="1"/>
        <rFont val="Aptos Narrow"/>
        <family val="2"/>
        <scheme val="minor"/>
      </rPr>
      <t>mark a Stress instead</t>
    </r>
    <r>
      <rPr>
        <sz val="11"/>
        <color theme="1"/>
        <rFont val="Aptos Narrow"/>
        <family val="2"/>
        <scheme val="minor"/>
      </rPr>
      <t>.</t>
    </r>
  </si>
  <si>
    <t>Foundryborne: 1/short-rest replacement trigger at “last HP” moment. daggerheart.org</t>
  </si>
  <si>
    <r>
      <t>Sharp</t>
    </r>
    <r>
      <rPr>
        <sz val="11"/>
        <color theme="1"/>
        <rFont val="Aptos Narrow"/>
        <family val="2"/>
        <scheme val="minor"/>
      </rPr>
      <t xml:space="preserve"> — On a successful attack against a target in </t>
    </r>
    <r>
      <rPr>
        <b/>
        <sz val="11"/>
        <color theme="1"/>
        <rFont val="Aptos Narrow"/>
        <family val="2"/>
        <scheme val="minor"/>
      </rPr>
      <t>Melee</t>
    </r>
    <r>
      <rPr>
        <sz val="11"/>
        <color theme="1"/>
        <rFont val="Aptos Narrow"/>
        <family val="2"/>
        <scheme val="minor"/>
      </rPr>
      <t xml:space="preserve">, </t>
    </r>
    <r>
      <rPr>
        <b/>
        <sz val="11"/>
        <color theme="1"/>
        <rFont val="Aptos Narrow"/>
        <family val="2"/>
        <scheme val="minor"/>
      </rPr>
      <t>add a d4</t>
    </r>
    <r>
      <rPr>
        <sz val="11"/>
        <color theme="1"/>
        <rFont val="Aptos Narrow"/>
        <family val="2"/>
        <scheme val="minor"/>
      </rPr>
      <t xml:space="preserve"> to the damage roll.</t>
    </r>
  </si>
  <si>
    <t>Foundryborne: conditional damage rider (melee only). daggerheart.org</t>
  </si>
  <si>
    <r>
      <t>Physical</t>
    </r>
    <r>
      <rPr>
        <sz val="11"/>
        <color theme="1"/>
        <rFont val="Aptos Narrow"/>
        <family val="2"/>
        <scheme val="minor"/>
      </rPr>
      <t xml:space="preserve"> — You </t>
    </r>
    <r>
      <rPr>
        <b/>
        <sz val="11"/>
        <color theme="1"/>
        <rFont val="Aptos Narrow"/>
        <family val="2"/>
        <scheme val="minor"/>
      </rPr>
      <t>can’t mark an Armor Slot</t>
    </r>
    <r>
      <rPr>
        <sz val="11"/>
        <color theme="1"/>
        <rFont val="Aptos Narrow"/>
        <family val="2"/>
        <scheme val="minor"/>
      </rPr>
      <t xml:space="preserve"> to reduce </t>
    </r>
    <r>
      <rPr>
        <b/>
        <sz val="11"/>
        <color theme="1"/>
        <rFont val="Aptos Narrow"/>
        <family val="2"/>
        <scheme val="minor"/>
      </rPr>
      <t>magic</t>
    </r>
    <r>
      <rPr>
        <sz val="11"/>
        <color theme="1"/>
        <rFont val="Aptos Narrow"/>
        <family val="2"/>
        <scheme val="minor"/>
      </rPr>
      <t xml:space="preserve"> damage.</t>
    </r>
  </si>
  <si>
    <t>Foundryborne: prohibits using slots vs. magic. daggerheart.org</t>
  </si>
  <si>
    <r>
      <t>Magic</t>
    </r>
    <r>
      <rPr>
        <sz val="11"/>
        <color theme="1"/>
        <rFont val="Aptos Narrow"/>
        <family val="2"/>
        <scheme val="minor"/>
      </rPr>
      <t xml:space="preserve"> — You </t>
    </r>
    <r>
      <rPr>
        <b/>
        <sz val="11"/>
        <color theme="1"/>
        <rFont val="Aptos Narrow"/>
        <family val="2"/>
        <scheme val="minor"/>
      </rPr>
      <t>can’t mark an Armor Slot</t>
    </r>
    <r>
      <rPr>
        <sz val="11"/>
        <color theme="1"/>
        <rFont val="Aptos Narrow"/>
        <family val="2"/>
        <scheme val="minor"/>
      </rPr>
      <t xml:space="preserve"> to reduce </t>
    </r>
    <r>
      <rPr>
        <b/>
        <sz val="11"/>
        <color theme="1"/>
        <rFont val="Aptos Narrow"/>
        <family val="2"/>
        <scheme val="minor"/>
      </rPr>
      <t>physical</t>
    </r>
    <r>
      <rPr>
        <sz val="11"/>
        <color theme="1"/>
        <rFont val="Aptos Narrow"/>
        <family val="2"/>
        <scheme val="minor"/>
      </rPr>
      <t xml:space="preserve"> damage.</t>
    </r>
  </si>
  <si>
    <t>Foundryborne: prohibits using slots vs. physical. daggerheart.org</t>
  </si>
  <si>
    <r>
      <t>Painful</t>
    </r>
    <r>
      <rPr>
        <sz val="11"/>
        <color theme="1"/>
        <rFont val="Aptos Narrow"/>
        <family val="2"/>
        <scheme val="minor"/>
      </rPr>
      <t xml:space="preserve"> — Each time you </t>
    </r>
    <r>
      <rPr>
        <b/>
        <sz val="11"/>
        <color theme="1"/>
        <rFont val="Aptos Narrow"/>
        <family val="2"/>
        <scheme val="minor"/>
      </rPr>
      <t>mark an Armor Slot</t>
    </r>
    <r>
      <rPr>
        <sz val="11"/>
        <color theme="1"/>
        <rFont val="Aptos Narrow"/>
        <family val="2"/>
        <scheme val="minor"/>
      </rPr>
      <t xml:space="preserve">, you must </t>
    </r>
    <r>
      <rPr>
        <b/>
        <sz val="11"/>
        <color theme="1"/>
        <rFont val="Aptos Narrow"/>
        <family val="2"/>
        <scheme val="minor"/>
      </rPr>
      <t>mark a Stress</t>
    </r>
    <r>
      <rPr>
        <sz val="11"/>
        <color theme="1"/>
        <rFont val="Aptos Narrow"/>
        <family val="2"/>
        <scheme val="minor"/>
      </rPr>
      <t>.</t>
    </r>
  </si>
  <si>
    <t>Foundryborne: adds a cost when spending slots. daggerheart.org</t>
  </si>
  <si>
    <r>
      <t>Timeslowing</t>
    </r>
    <r>
      <rPr>
        <sz val="11"/>
        <color theme="1"/>
        <rFont val="Aptos Narrow"/>
        <family val="2"/>
        <scheme val="minor"/>
      </rPr>
      <t xml:space="preserve"> — Mark an Armor Slot to roll </t>
    </r>
    <r>
      <rPr>
        <b/>
        <sz val="11"/>
        <color theme="1"/>
        <rFont val="Aptos Narrow"/>
        <family val="2"/>
        <scheme val="minor"/>
      </rPr>
      <t>d4</t>
    </r>
    <r>
      <rPr>
        <sz val="11"/>
        <color theme="1"/>
        <rFont val="Aptos Narrow"/>
        <family val="2"/>
        <scheme val="minor"/>
      </rPr>
      <t xml:space="preserve"> and </t>
    </r>
    <r>
      <rPr>
        <b/>
        <sz val="11"/>
        <color theme="1"/>
        <rFont val="Aptos Narrow"/>
        <family val="2"/>
        <scheme val="minor"/>
      </rPr>
      <t>add to Evasion</t>
    </r>
    <r>
      <rPr>
        <sz val="11"/>
        <color theme="1"/>
        <rFont val="Aptos Narrow"/>
        <family val="2"/>
        <scheme val="minor"/>
      </rPr>
      <t xml:space="preserve"> against an </t>
    </r>
    <r>
      <rPr>
        <b/>
        <sz val="11"/>
        <color theme="1"/>
        <rFont val="Aptos Narrow"/>
        <family val="2"/>
        <scheme val="minor"/>
      </rPr>
      <t>incoming attack</t>
    </r>
    <r>
      <rPr>
        <sz val="11"/>
        <color theme="1"/>
        <rFont val="Aptos Narrow"/>
        <family val="2"/>
        <scheme val="minor"/>
      </rPr>
      <t>.</t>
    </r>
  </si>
  <si>
    <t>Foundryborne: reaction: spend slot, roll d4, add to Evasion for that attack. daggerheart.org</t>
  </si>
  <si>
    <r>
      <t>Channeling</t>
    </r>
    <r>
      <rPr>
        <sz val="11"/>
        <color theme="1"/>
        <rFont val="Aptos Narrow"/>
        <family val="2"/>
        <scheme val="minor"/>
      </rPr>
      <t xml:space="preserve"> — </t>
    </r>
    <r>
      <rPr>
        <b/>
        <sz val="11"/>
        <color theme="1"/>
        <rFont val="Aptos Narrow"/>
        <family val="2"/>
        <scheme val="minor"/>
      </rPr>
      <t>+1 to Spellcast Rolls.</t>
    </r>
  </si>
  <si>
    <t>Foundryborne: passive +1 on spellcast checks while equipped. daggerheart.org</t>
  </si>
  <si>
    <r>
      <t>Burning</t>
    </r>
    <r>
      <rPr>
        <sz val="11"/>
        <color theme="1"/>
        <rFont val="Aptos Narrow"/>
        <family val="2"/>
        <scheme val="minor"/>
      </rPr>
      <t xml:space="preserve"> — When an adversary attacks you in </t>
    </r>
    <r>
      <rPr>
        <b/>
        <sz val="11"/>
        <color theme="1"/>
        <rFont val="Aptos Narrow"/>
        <family val="2"/>
        <scheme val="minor"/>
      </rPr>
      <t>Melee</t>
    </r>
    <r>
      <rPr>
        <sz val="11"/>
        <color theme="1"/>
        <rFont val="Aptos Narrow"/>
        <family val="2"/>
        <scheme val="minor"/>
      </rPr>
      <t xml:space="preserve">, </t>
    </r>
    <r>
      <rPr>
        <b/>
        <sz val="11"/>
        <color theme="1"/>
        <rFont val="Aptos Narrow"/>
        <family val="2"/>
        <scheme val="minor"/>
      </rPr>
      <t>they mark a Stress</t>
    </r>
    <r>
      <rPr>
        <sz val="11"/>
        <color theme="1"/>
        <rFont val="Aptos Narrow"/>
        <family val="2"/>
        <scheme val="minor"/>
      </rPr>
      <t>.</t>
    </r>
  </si>
  <si>
    <t>Foundryborne: reactive penalty to melee attackers. daggerheart.org</t>
  </si>
  <si>
    <r>
      <t>Fortified</t>
    </r>
    <r>
      <rPr>
        <sz val="11"/>
        <color theme="1"/>
        <rFont val="Aptos Narrow"/>
        <family val="2"/>
        <scheme val="minor"/>
      </rPr>
      <t xml:space="preserve"> — When you </t>
    </r>
    <r>
      <rPr>
        <b/>
        <sz val="11"/>
        <color theme="1"/>
        <rFont val="Aptos Narrow"/>
        <family val="2"/>
        <scheme val="minor"/>
      </rPr>
      <t>mark an Armor Slot</t>
    </r>
    <r>
      <rPr>
        <sz val="11"/>
        <color theme="1"/>
        <rFont val="Aptos Narrow"/>
        <family val="2"/>
        <scheme val="minor"/>
      </rPr>
      <t xml:space="preserve">, you reduce severity by </t>
    </r>
    <r>
      <rPr>
        <b/>
        <sz val="11"/>
        <color theme="1"/>
        <rFont val="Aptos Narrow"/>
        <family val="2"/>
        <scheme val="minor"/>
      </rPr>
      <t>two thresholds</t>
    </r>
    <r>
      <rPr>
        <sz val="11"/>
        <color theme="1"/>
        <rFont val="Aptos Narrow"/>
        <family val="2"/>
        <scheme val="minor"/>
      </rPr>
      <t xml:space="preserve"> instead of one.</t>
    </r>
  </si>
  <si>
    <t>Foundryborne: stronger slot-spend mitigation. daggerheart.org</t>
  </si>
  <si>
    <r>
      <t>Truthseeking</t>
    </r>
    <r>
      <rPr>
        <sz val="11"/>
        <color theme="1"/>
        <rFont val="Aptos Narrow"/>
        <family val="2"/>
        <scheme val="minor"/>
      </rPr>
      <t xml:space="preserve"> — Armor </t>
    </r>
    <r>
      <rPr>
        <b/>
        <sz val="11"/>
        <color theme="1"/>
        <rFont val="Aptos Narrow"/>
        <family val="2"/>
        <scheme val="minor"/>
      </rPr>
      <t>glows</t>
    </r>
    <r>
      <rPr>
        <sz val="11"/>
        <color theme="1"/>
        <rFont val="Aptos Narrow"/>
        <family val="2"/>
        <scheme val="minor"/>
      </rPr>
      <t xml:space="preserve"> when a creature within </t>
    </r>
    <r>
      <rPr>
        <b/>
        <sz val="11"/>
        <color theme="1"/>
        <rFont val="Aptos Narrow"/>
        <family val="2"/>
        <scheme val="minor"/>
      </rPr>
      <t>Close</t>
    </r>
    <r>
      <rPr>
        <sz val="11"/>
        <color theme="1"/>
        <rFont val="Aptos Narrow"/>
        <family val="2"/>
        <scheme val="minor"/>
      </rPr>
      <t xml:space="preserve"> tells a </t>
    </r>
    <r>
      <rPr>
        <b/>
        <sz val="11"/>
        <color theme="1"/>
        <rFont val="Aptos Narrow"/>
        <family val="2"/>
        <scheme val="minor"/>
      </rPr>
      <t>lie</t>
    </r>
    <r>
      <rPr>
        <sz val="11"/>
        <color theme="1"/>
        <rFont val="Aptos Narrow"/>
        <family val="2"/>
        <scheme val="minor"/>
      </rPr>
      <t>.</t>
    </r>
  </si>
  <si>
    <t>Foundryborne: narrative/visual indicator; no roll math. daggerheart.org</t>
  </si>
  <si>
    <r>
      <t>Difficult</t>
    </r>
    <r>
      <rPr>
        <sz val="11"/>
        <color theme="1"/>
        <rFont val="Aptos Narrow"/>
        <family val="2"/>
        <scheme val="minor"/>
      </rPr>
      <t xml:space="preserve"> — “−1 to </t>
    </r>
    <r>
      <rPr>
        <b/>
        <sz val="11"/>
        <color theme="1"/>
        <rFont val="Aptos Narrow"/>
        <family val="2"/>
        <scheme val="minor"/>
      </rPr>
      <t>all</t>
    </r>
    <r>
      <rPr>
        <sz val="11"/>
        <color theme="1"/>
        <rFont val="Aptos Narrow"/>
        <family val="2"/>
        <scheme val="minor"/>
      </rPr>
      <t xml:space="preserve"> character traits and </t>
    </r>
    <r>
      <rPr>
        <b/>
        <sz val="11"/>
        <color theme="1"/>
        <rFont val="Aptos Narrow"/>
        <family val="2"/>
        <scheme val="minor"/>
      </rPr>
      <t>Evasion</t>
    </r>
    <r>
      <rPr>
        <sz val="11"/>
        <color theme="1"/>
        <rFont val="Aptos Narrow"/>
        <family val="2"/>
        <scheme val="minor"/>
      </rPr>
      <t>.”</t>
    </r>
  </si>
  <si>
    <t>Foundryborne: broad passive penalties while equipped. daggerheart.org</t>
  </si>
  <si>
    <t>prompt</t>
  </si>
  <si>
    <t>old_name</t>
  </si>
  <si>
    <t>new_name</t>
  </si>
  <si>
    <t>new_description</t>
  </si>
  <si>
    <t>Stride Potion</t>
  </si>
  <si>
    <t>Agility Booster Nanoshot</t>
  </si>
  <si>
    <t>A fast-acting nanite injection that heightens reflex loops and micro-muscle response. +1 bonus to your next Agility roll.</t>
  </si>
  <si>
    <t>Bolster Potion</t>
  </si>
  <si>
    <t>Muscle Overdrive Serum</t>
  </si>
  <si>
    <t>A strength-enhancing stim that floods the body with synthetic adrenaline. +1 bonus to your next Strength roll.</t>
  </si>
  <si>
    <t>Control Potion</t>
  </si>
  <si>
    <t>Precision Sync Injector</t>
  </si>
  <si>
    <t>A neural alignment serum that steadies fine-motor control. +1 bonus to your next Finesse roll.</t>
  </si>
  <si>
    <t>Attune Potion</t>
  </si>
  <si>
    <t>Instinct Amplifier Chip</t>
  </si>
  <si>
    <t>A temporary neural patch that sharpens intuition and sensory prediction. +1 bonus to your next Instinct roll.</t>
  </si>
  <si>
    <t>Charm Potion</t>
  </si>
  <si>
    <t>Persona Enhancement Dose</t>
  </si>
  <si>
    <t>An injectable charisma mod that boosts confidence and pheromonal output. +1 bonus to your next Presence roll.</t>
  </si>
  <si>
    <t>Enlighten Potion</t>
  </si>
  <si>
    <t>Cognitive Overclock Pill</t>
  </si>
  <si>
    <t>A nootropic compound that spikes short-term intellect and recall. +1 bonus to your next Knowledge roll.</t>
  </si>
  <si>
    <t>Minor Health Potion</t>
  </si>
  <si>
    <t>Minor Health Stimpack</t>
  </si>
  <si>
    <t>A compact medical injector loaded with clotting foam and nanite tissue repair. Restores 1d4 HP.</t>
  </si>
  <si>
    <t>Minor Stamina Potion</t>
  </si>
  <si>
    <t>Minor Adrenaline Patch</t>
  </si>
  <si>
    <t>A mild stim patch that reduces stress hormones and stabilizes vitals. Clears 1d4 Stress.</t>
  </si>
  <si>
    <t>Grindeltooth Venom</t>
  </si>
  <si>
    <t>Corrosive Edge Coating</t>
  </si>
  <si>
    <t>A reactive gel applied to blades that adds an acidic burst on impact. Adds 1d6 to your next physical damage roll.</t>
  </si>
  <si>
    <t>Varik Leaves</t>
  </si>
  <si>
    <t>Focus Amp Tabs</t>
  </si>
  <si>
    <t>A pair of dissolving nootropic strips that flood the mind with clarity. Gain 2 Hope.</t>
  </si>
  <si>
    <t>Vial of Moondrip</t>
  </si>
  <si>
    <t>Night-Vision Eye Drops</t>
  </si>
  <si>
    <t>A retinal nanofluid that enhances low-light sensitivity. You can see in total darkness until your next rest.</t>
  </si>
  <si>
    <t>Unstable Arcane Shard</t>
  </si>
  <si>
    <t>Unstable Plasma Grenade</t>
  </si>
  <si>
    <t>A volatile micro-fusion cell that can be hurled at a target cluster. On hit, deals 1d20 plasma damage within Far range.</t>
  </si>
  <si>
    <t>Potion of Stability</t>
  </si>
  <si>
    <t>Neural Reset Drink</t>
  </si>
  <si>
    <t>A calming electrolyte-nootropic blend that restores mental balance. Choose one additional downtime move.</t>
  </si>
  <si>
    <t>Improved Grindeltooth Venom</t>
  </si>
  <si>
    <t>Enhanced Corrosive Edge Coating</t>
  </si>
  <si>
    <t>An upgraded acid polymer that superheats on contact. Adds 1d8 to your next physical damage roll.</t>
  </si>
  <si>
    <t>Morphing Clay</t>
  </si>
  <si>
    <t>Biomimetic Mask Gel</t>
  </si>
  <si>
    <t>A skin-altering nanogel that reconfigures facial features. Spend 4 Hope to appear unrecognizable until next rest.</t>
  </si>
  <si>
    <t>Vial of Darksmoke</t>
  </si>
  <si>
    <t>Reactive Evasion Smoke</t>
  </si>
  <si>
    <t>A one-use vial that releases micro-smoke drones. Roll d6s equal to Agility; add the highest to Evasion vs. that attack.</t>
  </si>
  <si>
    <t>Jumping Root</t>
  </si>
  <si>
    <t>Kinetic Leg Booster</t>
  </si>
  <si>
    <t>A leg-mounted actuator charge that launches you up to Far range once without rolling.</t>
  </si>
  <si>
    <t>Snap Powder</t>
  </si>
  <si>
    <t>Combat Regen Inhalant</t>
  </si>
  <si>
    <t>A rapid-acting chemical cocktail—mark 1 Stress to clear 1 HP.</t>
  </si>
  <si>
    <t>Health Potion</t>
  </si>
  <si>
    <t>Standard Health Stimpack</t>
  </si>
  <si>
    <t>A dual-dose medical injector that rebuilds soft tissue instantly. Restores 1d4+1 HP.</t>
  </si>
  <si>
    <t>Stamina Potion</t>
  </si>
  <si>
    <t>Standard Adrenaline Patch</t>
  </si>
  <si>
    <t>A concentrated stim patch that resets stress pathways. Clears 1d4+1 Stress.</t>
  </si>
  <si>
    <t>Armor Stitcher</t>
  </si>
  <si>
    <t>Armor Nanite Repair Kit</t>
  </si>
  <si>
    <t>A swarm of nanites that reknit damaged armor plating. Spend any amount of Hope to clear that many Armor Slots.</t>
  </si>
  <si>
    <t>Gill Salve</t>
  </si>
  <si>
    <t>Respirator Gel</t>
  </si>
  <si>
    <t>A bio-gel that filters oxygen from water through skin membranes. Breathe underwater minutes equal to your level.</t>
  </si>
  <si>
    <t>Replication Parchment</t>
  </si>
  <si>
    <t>Data Clone Chip</t>
  </si>
  <si>
    <t>A single-use microdrive that duplicates any stored data perfectly. After use, becomes inert silicon.</t>
  </si>
  <si>
    <t>Improved Arcane Shard</t>
  </si>
  <si>
    <t>Improved Plasma Grenade</t>
  </si>
  <si>
    <t>An upgraded plasma charge with doubled output. Deals 2d20 plasma damage within Far range.</t>
  </si>
  <si>
    <t>Major Stride Potion</t>
  </si>
  <si>
    <t>Agility Booster Plus</t>
  </si>
  <si>
    <t>An enhanced nanoshot that grants +1 Agility until your next rest.</t>
  </si>
  <si>
    <t>Major Bolster Potion</t>
  </si>
  <si>
    <t>Muscle Overdrive Plus</t>
  </si>
  <si>
    <t>Advanced muscle stim that grants +1 Strength until your next rest.</t>
  </si>
  <si>
    <t>Major Control Potion</t>
  </si>
  <si>
    <t>Precision Sync Plus</t>
  </si>
  <si>
    <t>Optimized neural alignment implant granting +1 Finesse until next rest.</t>
  </si>
  <si>
    <t>Major Attune Potion</t>
  </si>
  <si>
    <t>Instinct Amplifier Plus</t>
  </si>
  <si>
    <t>Refined AI-tuned patch that grants +1 Instinct until next rest.</t>
  </si>
  <si>
    <t>Major Charm Potion</t>
  </si>
  <si>
    <t>Persona Enhancement Plus</t>
  </si>
  <si>
    <t>Improved pheromone mod granting +1 Presence until next rest.</t>
  </si>
  <si>
    <t>Major Enlighten Potion</t>
  </si>
  <si>
    <t>Cognitive Overclock Plus</t>
  </si>
  <si>
    <t>Advanced nootropic granting +1 Knowledge until next rest.</t>
  </si>
  <si>
    <t>Blood of the Yorgi</t>
  </si>
  <si>
    <t>Phase-Shift Serum</t>
  </si>
  <si>
    <t>A rare experimental serum that lets the user blink through space within very Far range.</t>
  </si>
  <si>
    <t>Hornet’s Secret Potion</t>
  </si>
  <si>
    <t>Guaranteed Critical Algorithm</t>
  </si>
  <si>
    <t>A microchip booster that ensures your next successful attack critically succeeds.</t>
  </si>
  <si>
    <t>Redthorn Saliva</t>
  </si>
  <si>
    <t>Hyper-Corrosive Edge Coating</t>
  </si>
  <si>
    <t>A volatile toxin gel that adds 1d12 to your next physical damage roll.</t>
  </si>
  <si>
    <t>Spell Cache Drive</t>
  </si>
  <si>
    <t>A neural-linked data drive that lets you temporarily load and cast one stored spell, then offload it.</t>
  </si>
  <si>
    <t>Mythic Dust</t>
  </si>
  <si>
    <t>Arc Resonance Powder</t>
  </si>
  <si>
    <t>Quantum dust that amplifies energy weapon output. Adds 1d12 to your next magic damage roll.</t>
  </si>
  <si>
    <t>Wall-Melt Gel</t>
  </si>
  <si>
    <t>An industrial solvent that dissolves barriers in bright flashes—stand clear.</t>
  </si>
  <si>
    <t>Hopehold Flare</t>
  </si>
  <si>
    <t>Morale Beacon Flare</t>
  </si>
  <si>
    <t>A short-range beacon that boosts allied morale. Allies in Close range roll d6 when spending Hope; on a 6, Hope isn’t spent.</t>
  </si>
  <si>
    <t>Major Arcane Shard</t>
  </si>
  <si>
    <t>Major Plasma Grenade</t>
  </si>
  <si>
    <t>A heavy plasma cell delivering 4d20 plasma damage within Far range.</t>
  </si>
  <si>
    <t>Grav-Damp Chip</t>
  </si>
  <si>
    <t>A spinal implant chip that reduces gravitational pull, letting you fall slowly for minutes equal to your level.</t>
  </si>
  <si>
    <t>Circle of the Void</t>
  </si>
  <si>
    <t>Null-Field Generator</t>
  </si>
  <si>
    <t>A portable field device that nullifies magic and digital resonance within Far range for one scene.</t>
  </si>
  <si>
    <t>Sun Tree Sap</t>
  </si>
  <si>
    <t>Quantum Flux Serum</t>
  </si>
  <si>
    <t>A chaotic serum that triggers random recovery or visions of death. Roll d6 for varying effects.</t>
  </si>
  <si>
    <t>Dripfang Poison</t>
  </si>
  <si>
    <t>Neural Toxin Ampule</t>
  </si>
  <si>
    <t>A potent injectable that delivers 2d10 direct neural damage to a victim.</t>
  </si>
  <si>
    <t>Major Health Potion</t>
  </si>
  <si>
    <t>Major Health Stimpack</t>
  </si>
  <si>
    <t>High-capacity stimpack restoring 1d4+2 HP.</t>
  </si>
  <si>
    <t>Major Stamina Potion</t>
  </si>
  <si>
    <t>Major Adrenaline Patch</t>
  </si>
  <si>
    <t>Upgraded patch clearing 1d4+2 Stress.</t>
  </si>
  <si>
    <t>Ogre Musk</t>
  </si>
  <si>
    <t>Tracking Scrambler Mist</t>
  </si>
  <si>
    <t>A chemical cloud that scrambles biosign and digital traces, preventing tracking until next rest.</t>
  </si>
  <si>
    <t>Grav-Lift Harness</t>
  </si>
  <si>
    <t>Deployable grav-wings granting flight for minutes equal to your level.</t>
  </si>
  <si>
    <t>Jar of Lost Voices</t>
  </si>
  <si>
    <t>Sonic Disruption Jar</t>
  </si>
  <si>
    <t>Releases a cacophony of ghostly feedback. All within Far range take 6d8 sonic damage.</t>
  </si>
  <si>
    <t>Dragonbloom Tea</t>
  </si>
  <si>
    <t>Pyro-Core Injector</t>
  </si>
  <si>
    <t>An internal reactor shot that lets you exhale plasma fire. Make an Instinct roll; targets in front take 2d20 physical damage.</t>
  </si>
  <si>
    <t>Bridge Seed</t>
  </si>
  <si>
    <t>Nanowire Bridge Pod</t>
  </si>
  <si>
    <t>Deploys self-assembling nanowires forming a bridge up to Far range; dissolves after short rest.</t>
  </si>
  <si>
    <t>Sleeping Sap</t>
  </si>
  <si>
    <t>Deep-Sleep Capsule</t>
  </si>
  <si>
    <t>A sedative capsule inducing full rest and clearing all Stress on waking.</t>
  </si>
  <si>
    <t>Feast of Xurla</t>
  </si>
  <si>
    <t>Executive Feast Pack</t>
  </si>
  <si>
    <t>A luxury nutrient kit that clears all HP and Stress and grants 1d4 Hope.</t>
  </si>
  <si>
    <t>Bonding Honey</t>
  </si>
  <si>
    <t>Industrial Adhesive Gel</t>
  </si>
  <si>
    <t>A dual-compound resin that permanently bonds objects together.</t>
  </si>
  <si>
    <t>Shrinking Potion</t>
  </si>
  <si>
    <t>Micro-Size Serum</t>
  </si>
  <si>
    <t>A nanite serum halving your body size with +2 Agility and –1 Proficiency until reverted.</t>
  </si>
  <si>
    <t>Growing Potion</t>
  </si>
  <si>
    <t>Macro-Size Serum</t>
  </si>
  <si>
    <t>A nanite expansion serum doubling your size with +2 Strength and +1 Proficiency until reverted.</t>
  </si>
  <si>
    <t>Knowledge Stone</t>
  </si>
  <si>
    <t>Memory Transfer Crystal</t>
  </si>
  <si>
    <t>Upon death, stores your last loadout data. An ally can absorb it, inheriting one of your cards before it dissolves.</t>
  </si>
  <si>
    <t>Sweet Moss</t>
  </si>
  <si>
    <t>Soothing Med-Gel</t>
  </si>
  <si>
    <t>A rest-time gel that clears 1d10 HP or 1d10 Stress when applied.</t>
  </si>
  <si>
    <t>Blinding Orb</t>
  </si>
  <si>
    <t>Flashbang Grenade</t>
  </si>
  <si>
    <t>A high-intensity flash device blinding all targets within Close range until they take HP damage.</t>
  </si>
  <si>
    <t>Death Tea</t>
  </si>
  <si>
    <t>Assassin’s Neurotoxin</t>
  </si>
  <si>
    <t>A lethal nanopoison: if you crit before your next long rest, your target dies. Fail—and so do you.</t>
  </si>
  <si>
    <t>Mirror of Marigold</t>
  </si>
  <si>
    <t>Reactive Deflection Matrix</t>
  </si>
  <si>
    <t>A single-use energy field that negates one instance of damage when Hope is spent, then shatters.</t>
  </si>
  <si>
    <t>Orbital Strike Beacon</t>
  </si>
  <si>
    <t>A miniaturized satellite uplink calling down a storm of kinetic rods. Deals 8d20 physical damage within Very Far range.</t>
  </si>
  <si>
    <t>Gambeson Armor</t>
  </si>
  <si>
    <t>Leather Armor</t>
  </si>
  <si>
    <t>Chainmail Armor</t>
  </si>
  <si>
    <t>Full Plate Armor</t>
  </si>
  <si>
    <t>Improved Gambeson Armor</t>
  </si>
  <si>
    <t>Improved Leather Armor</t>
  </si>
  <si>
    <t>Improved Chainmail Armor</t>
  </si>
  <si>
    <t>Improved Full Plate Armor</t>
  </si>
  <si>
    <t>Elundrian Chain Armor</t>
  </si>
  <si>
    <t>Harrowbone Armor</t>
  </si>
  <si>
    <t>Irontree Breastplate Armor</t>
  </si>
  <si>
    <t>Runetan Floating Armor</t>
  </si>
  <si>
    <t>Tyris Soft Armor</t>
  </si>
  <si>
    <t>Rosewild Armor</t>
  </si>
  <si>
    <t>Advanced Gambeson Armor</t>
  </si>
  <si>
    <t>Advanced Leather Armor</t>
  </si>
  <si>
    <t>Advanced Chainmail Armor</t>
  </si>
  <si>
    <t>Advanced Full Plate Armor</t>
  </si>
  <si>
    <t>Bellamie Fine Armor</t>
  </si>
  <si>
    <t>Dragonscale Armor</t>
  </si>
  <si>
    <t>Spiked Plate Armor</t>
  </si>
  <si>
    <t>Bladefare Armor</t>
  </si>
  <si>
    <t>Monett’s Cloak</t>
  </si>
  <si>
    <t>Runes of Fortification</t>
  </si>
  <si>
    <t>Legendary Gambeson Armor</t>
  </si>
  <si>
    <t>Legendary Leather Armor</t>
  </si>
  <si>
    <t>Legendary Chainmail Armor</t>
  </si>
  <si>
    <t>Legendary Full Plate Armor</t>
  </si>
  <si>
    <t>Dunamis Silkchain</t>
  </si>
  <si>
    <t>Channeling Armor</t>
  </si>
  <si>
    <t>Emberwoven Armor</t>
  </si>
  <si>
    <t>Full Fortified Armor</t>
  </si>
  <si>
    <t>Veritas Opal Armor</t>
  </si>
  <si>
    <t>Savior Chainmail</t>
  </si>
  <si>
    <t>Impact-Padded Street Vest</t>
  </si>
  <si>
    <t>A padded street vest with shock-absorbing gel plates—cheap insurance against fists, batons, and stray shrapnel.</t>
  </si>
  <si>
    <t>KevFlex Jacket</t>
  </si>
  <si>
    <t>Lightweight synthetic leather threaded with flexible Kevlar weave—keeps you quick without feeling naked.</t>
  </si>
  <si>
    <t>Slash-Resistant Polymer Jacket</t>
  </si>
  <si>
    <t>Medium-weight body armor woven from advanced polymer rings designed to resist slashes and punctures—perfect for Megatropolis alleys.</t>
  </si>
  <si>
    <t>Composite Riot Carapace</t>
  </si>
  <si>
    <t>Full-coverage composite plating over impact mesh. Heavy, loud, and built to walk through riots.</t>
  </si>
  <si>
    <t>Reinforced Street Vest</t>
  </si>
  <si>
    <t>Up-armored padding with denser gels and better dispersion. Looks cheap, works miracles.</t>
  </si>
  <si>
    <t>KevFlex Jacket Mk II</t>
  </si>
  <si>
    <t>Upgraded synthetic leather with doubled Kevlar threading—lightweight, better seams, cleaner lines.</t>
  </si>
  <si>
    <t>Advanced Slash-Resistant Jacket</t>
  </si>
  <si>
    <t>Polymer-link weave with ceramic micro-scales; shrugs off knives and claws.</t>
  </si>
  <si>
    <t>Enhanced Riot Carapace</t>
  </si>
  <si>
    <t>Optimized riot carapace with servo assists at the knees and shoulders—still heavy, now meaner.</t>
  </si>
  <si>
    <t>Arc-Shield Mesh</t>
  </si>
  <si>
    <t>Conductive mesh grounded through the lining that bleeds off hostile charge and arc magic.</t>
  </si>
  <si>
    <t>Auto-Heal Laminate</t>
  </si>
  <si>
    <t>Self-tightening fibers that cinch when stressed, buying you precious seconds before a breach.</t>
  </si>
  <si>
    <t>CeramSteel Chest Rig</t>
  </si>
  <si>
    <t>Ceramic-steel sandwich paneling that hardens under impact—your torso becomes a problem for bullets.</t>
  </si>
  <si>
    <t>Kinetic Shift Harness</t>
  </si>
  <si>
    <t>Micro-actuators twitch armor segments just before impact, deflecting strikes at the last millisecond.</t>
  </si>
  <si>
    <t>Ghoststep Weave</t>
  </si>
  <si>
    <t>Sound-dampened cloth and frictionless seams—made for slipping past guards and cameras alike.</t>
  </si>
  <si>
    <t>Hope Bank Vest</t>
  </si>
  <si>
    <t>Embedded charge cells let you spend armor power instead of precious morale in tight spots.</t>
  </si>
  <si>
    <t>Tactical Gel Suit</t>
  </si>
  <si>
    <t>Combat-grade gel padding bonded to compression mesh—soaks hits, keeps you moving.</t>
  </si>
  <si>
    <t>KevFlex Trench</t>
  </si>
  <si>
    <t>Long-cut coat with segmented Kevlar—style and survivability in one package.</t>
  </si>
  <si>
    <t>Slash-Resistant Polymer Coat</t>
  </si>
  <si>
    <t>Full-length polymer-link coat—blades skate, you keep walking.</t>
  </si>
  <si>
    <t>Assault Carapace</t>
  </si>
  <si>
    <t>Assault-rated composite plating with shock collars and full-joint reinforcement. Try not to run.</t>
  </si>
  <si>
    <t>Gilded Boardroom Suit</t>
  </si>
  <si>
    <t>Executive-cut armored suit with presence-boosting AR pins and tailored intimidation.</t>
  </si>
  <si>
    <t>Failsafe Exo-Plate</t>
  </si>
  <si>
    <t>When life hits critical, an emergency surge routes damage to the frame while you grit your teeth.</t>
  </si>
  <si>
    <t>Razor-Stud Carapace</t>
  </si>
  <si>
    <t>Barbs and razor-studs turn every clinch into a mistake—for them.</t>
  </si>
  <si>
    <t>Kinetic-Only Bulwark</t>
  </si>
  <si>
    <t>Optimized to blunt physical force; don’t expect it to help against witchware or weird grids.</t>
  </si>
  <si>
    <t>Hexweave Mantle</t>
  </si>
  <si>
    <t>Arc-reactive fibers tuned for sorcery and resonance—great against the mundane, not so much bullets.</t>
  </si>
  <si>
    <t>Pain Route Harness</t>
  </si>
  <si>
    <t>Routes shock into your nervous system—hurts like hell, but the armor holds.</t>
  </si>
  <si>
    <t>Legendary Gel Suit</t>
  </si>
  <si>
    <t>Top-shelf military gel plates with memory response—light, flexible, absurdly tough.</t>
  </si>
  <si>
    <t>Legendary KevFlex Trench</t>
  </si>
  <si>
    <t>A couture armored trench with next-gen weave and embedded countermeasures.</t>
  </si>
  <si>
    <t>Legendary Polymer Coat</t>
  </si>
  <si>
    <t>Masterwork polymer-link coat—cutter-proof and photogenic.</t>
  </si>
  <si>
    <t>Legendary Assault Carapace</t>
  </si>
  <si>
    <t>Black-ops composite suit meant to take a rocket and keep you upright.</t>
  </si>
  <si>
    <t>Timeslip Silks</t>
  </si>
  <si>
    <t>Exotic silks with micro-time skew—edge reality for a moment when the shot is coming.</t>
  </si>
  <si>
    <t>Caster’s Conduit Harness</t>
  </si>
  <si>
    <t>Latticed conduits that route arcane surge cleanly—focus in, cast true.</t>
  </si>
  <si>
    <t>Emberguard Mantle</t>
  </si>
  <si>
    <t>Heat-reactive panels flare with plasma warnings; anyone who swings in close gets a nasty surprise.</t>
  </si>
  <si>
    <t>Double-Buffer Plating</t>
  </si>
  <si>
    <t>Overbuilt dampers that soak two steps of hurt every time you brace.</t>
  </si>
  <si>
    <t>Truthlight Carapace</t>
  </si>
  <si>
    <t>Embedded truth-sensors flare when lies hit the air—corp meetings just got interesting.</t>
  </si>
  <si>
    <t>Savior Polymer Aegis</t>
  </si>
  <si>
    <t>Last-stand jacket that trades comfort, grace, and everything else for brutal survivability.</t>
  </si>
  <si>
    <t>modules\cybermancy\assets\icons\consumables\agility-booster-nanoshot.webp</t>
  </si>
  <si>
    <t>modules\cybermancy\assets\icons\consumables\muscle-overdrive-serum.webp</t>
  </si>
  <si>
    <t>modules\cybermancy\assets\icons\consumables\precision-sync-injector.webp</t>
  </si>
  <si>
    <t>modules\cybermancy\assets\icons\consumables\instinct-amplifier-chip.webp</t>
  </si>
  <si>
    <t>modules\cybermancy\assets\icons\consumables\persona-enhancement-dose.webp</t>
  </si>
  <si>
    <t>modules\cybermancy\assets\icons\consumables\cognitive-overclock-pill.webp</t>
  </si>
  <si>
    <t>modules\cybermancy\assets\icons\consumables\minor-health-stimpack.webp</t>
  </si>
  <si>
    <t>modules\cybermancy\assets\icons\consumables\minor-adrenaline-patch.webp</t>
  </si>
  <si>
    <t>modules\cybermancy\assets\icons\consumables\corrosive-edge-coating.webp</t>
  </si>
  <si>
    <t>modules\cybermancy\assets\icons\consumables\focus-amp-tabs.webp</t>
  </si>
  <si>
    <t>modules\cybermancy\assets\icons\consumables\night-vision-eye-drops.webp</t>
  </si>
  <si>
    <t>modules\cybermancy\assets\icons\consumables\unstable-plasma-grenade.webp</t>
  </si>
  <si>
    <t>modules\cybermancy\assets\icons\consumables\neural-reset-drink.webp</t>
  </si>
  <si>
    <t>modules\cybermancy\assets\icons\consumables\enhanced-corrosive-edge-coating.webp</t>
  </si>
  <si>
    <t>modules\cybermancy\assets\icons\consumables\biomimetic-mask-gel.webp</t>
  </si>
  <si>
    <t>modules\cybermancy\assets\icons\consumables\reactive-evasion-smoke.webp</t>
  </si>
  <si>
    <t>modules\cybermancy\assets\icons\consumables\kinetic-leg-booster.webp</t>
  </si>
  <si>
    <t>modules\cybermancy\assets\icons\consumables\combat-regen-inhalant.webp</t>
  </si>
  <si>
    <t>modules\cybermancy\assets\icons\consumables\standard-health-stimpack.webp</t>
  </si>
  <si>
    <t>modules\cybermancy\assets\icons\consumables\standard-adrenaline-patch.webp</t>
  </si>
  <si>
    <t>modules\cybermancy\assets\icons\consumables\armor-nanite-repair-kit.webp</t>
  </si>
  <si>
    <t>modules\cybermancy\assets\icons\consumables\respirator-gel.webp</t>
  </si>
  <si>
    <t>modules\cybermancy\assets\icons\consumables\data-clone-chip.webp</t>
  </si>
  <si>
    <t>modules\cybermancy\assets\icons\consumables\improved-plasma-grenade.webp</t>
  </si>
  <si>
    <t>modules\cybermancy\assets\icons\consumables\agility-booster-plus.webp</t>
  </si>
  <si>
    <t>modules\cybermancy\assets\icons\consumables\muscle-overdrive-plus.webp</t>
  </si>
  <si>
    <t>modules\cybermancy\assets\icons\consumables\precision-sync-plus.webp</t>
  </si>
  <si>
    <t>modules\cybermancy\assets\icons\consumables\instinct-amplifier-plus.webp</t>
  </si>
  <si>
    <t>modules\cybermancy\assets\icons\consumables\persona-enhancement-plus.webp</t>
  </si>
  <si>
    <t>modules\cybermancy\assets\icons\consumables\cognitive-overclock-plus.webp</t>
  </si>
  <si>
    <t>modules\cybermancy\assets\icons\consumables\phase-shift-serum.webp</t>
  </si>
  <si>
    <t>modules\cybermancy\assets\icons\consumables\guaranteed-critical-algorithm.webp</t>
  </si>
  <si>
    <t>modules\cybermancy\assets\icons\consumables\hyper-corrosive-edge-coating.webp</t>
  </si>
  <si>
    <t>modules\cybermancy\assets\icons\consumables\spell-cache-drive.webp</t>
  </si>
  <si>
    <t>modules\cybermancy\assets\icons\consumables\arc-resonance-powder.webp</t>
  </si>
  <si>
    <t>modules\cybermancy\assets\icons\consumables\wall-melt-gel.webp</t>
  </si>
  <si>
    <t>modules\cybermancy\assets\icons\consumables\morale-beacon-flare.webp</t>
  </si>
  <si>
    <t>modules\cybermancy\assets\icons\consumables\major-plasma-grenade.webp</t>
  </si>
  <si>
    <t>modules\cybermancy\assets\icons\consumables\grav-damp-chip.webp</t>
  </si>
  <si>
    <t>modules\cybermancy\assets\icons\consumables\null-field-generator.webp</t>
  </si>
  <si>
    <t>modules\cybermancy\assets\icons\consumables\quantum-flux-serum.webp</t>
  </si>
  <si>
    <t>modules\cybermancy\assets\icons\consumables\neural-toxin-ampule.webp</t>
  </si>
  <si>
    <t>modules\cybermancy\assets\icons\consumables\major-health-stimpack.webp</t>
  </si>
  <si>
    <t>modules\cybermancy\assets\icons\consumables\major-adrenaline-patch.webp</t>
  </si>
  <si>
    <t>modules\cybermancy\assets\icons\consumables\tracking-scrambler-mist.webp</t>
  </si>
  <si>
    <t>modules\cybermancy\assets\icons\consumables\grav-lift-harness.webp</t>
  </si>
  <si>
    <t>modules\cybermancy\assets\icons\consumables\sonic-disruption-jar.webp</t>
  </si>
  <si>
    <t>modules\cybermancy\assets\icons\consumables\pyro-core-injector.webp</t>
  </si>
  <si>
    <t>modules\cybermancy\assets\icons\consumables\nanowire-bridge-pod.webp</t>
  </si>
  <si>
    <t>modules\cybermancy\assets\icons\consumables\deep-sleep-capsule.webp</t>
  </si>
  <si>
    <t>modules\cybermancy\assets\icons\consumables\executive-feast-pack.webp</t>
  </si>
  <si>
    <t>modules\cybermancy\assets\icons\consumables\industrial-adhesive-gel.webp</t>
  </si>
  <si>
    <t>modules\cybermancy\assets\icons\consumables\micro-size-serum.webp</t>
  </si>
  <si>
    <t>modules\cybermancy\assets\icons\consumables\macro-size-serum.webp</t>
  </si>
  <si>
    <t>modules\cybermancy\assets\icons\consumables\memory-transfer-crystal.webp</t>
  </si>
  <si>
    <t>modules\cybermancy\assets\icons\consumables\soothing-med-gel.webp</t>
  </si>
  <si>
    <t>modules\cybermancy\assets\icons\consumables\flashbang-grenade.webp</t>
  </si>
  <si>
    <t>modules\cybermancy\assets\icons\consumables\assassin’s-neurotoxin.webp</t>
  </si>
  <si>
    <t>modules\cybermancy\assets\icons\consumables\reactive-deflection-matrix.webp</t>
  </si>
  <si>
    <t>modules\cybermancy\assets\icons\consumables\orbital-strike-beacon.webp</t>
  </si>
  <si>
    <t>stride-potion.webp</t>
  </si>
  <si>
    <t>bolster-potion.webp</t>
  </si>
  <si>
    <t>control-potion.webp</t>
  </si>
  <si>
    <t>attune-potion.webp</t>
  </si>
  <si>
    <t>charm-potion.webp</t>
  </si>
  <si>
    <t>enlighten-potion.webp</t>
  </si>
  <si>
    <t>minor-health-potion.webp</t>
  </si>
  <si>
    <t>minor-stamina-potion.webp</t>
  </si>
  <si>
    <t>grindeltooth-venom.webp</t>
  </si>
  <si>
    <t>varik-leaves.webp</t>
  </si>
  <si>
    <t>vial-of-moondrip.webp</t>
  </si>
  <si>
    <t>unstable-arcane-shard.webp</t>
  </si>
  <si>
    <t>potion-of-stability.webp</t>
  </si>
  <si>
    <t>improved-grindeltooth-venom.webp</t>
  </si>
  <si>
    <t>morphing-clay.webp</t>
  </si>
  <si>
    <t>vial-of-darksmoke.webp</t>
  </si>
  <si>
    <t>jumping-root.webp</t>
  </si>
  <si>
    <t>snap-powder.webp</t>
  </si>
  <si>
    <t>health-potion.webp</t>
  </si>
  <si>
    <t>stamina-potion.webp</t>
  </si>
  <si>
    <t>armor-stitcher.webp</t>
  </si>
  <si>
    <t>gill-salve.webp</t>
  </si>
  <si>
    <t>replication-parchment.webp</t>
  </si>
  <si>
    <t>improved-arcane-shard.webp</t>
  </si>
  <si>
    <t>major-stride-potion.webp</t>
  </si>
  <si>
    <t>major-bolster-potion.webp</t>
  </si>
  <si>
    <t>major-control-potion.webp</t>
  </si>
  <si>
    <t>major-attune-potion.webp</t>
  </si>
  <si>
    <t>major-charm-potion.webp</t>
  </si>
  <si>
    <t>major-enlighten-potion.webp</t>
  </si>
  <si>
    <t>blood-of-the-yorgi.webp</t>
  </si>
  <si>
    <t>hornet’s-secret-potion.webp</t>
  </si>
  <si>
    <t>redthorn-saliva.webp</t>
  </si>
  <si>
    <t>channelstone.webp</t>
  </si>
  <si>
    <t>mythic-dust.webp</t>
  </si>
  <si>
    <t>acidpaste.webp</t>
  </si>
  <si>
    <t>hopehold-flare.webp</t>
  </si>
  <si>
    <t>major-arcane-shard.webp</t>
  </si>
  <si>
    <t>featherbone.webp</t>
  </si>
  <si>
    <t>circle-of-the-void.webp</t>
  </si>
  <si>
    <t>sun-tree-sap.webp</t>
  </si>
  <si>
    <t>dripfang-poison.webp</t>
  </si>
  <si>
    <t>major-health-potion.webp</t>
  </si>
  <si>
    <t>major-stamina-potion.webp</t>
  </si>
  <si>
    <t>ogre-musk.webp</t>
  </si>
  <si>
    <t>wingsprout.webp</t>
  </si>
  <si>
    <t>jar-of-lost-voices.webp</t>
  </si>
  <si>
    <t>dragonbloom-tea.webp</t>
  </si>
  <si>
    <t>bridge-seed.webp</t>
  </si>
  <si>
    <t>sleeping-sap.webp</t>
  </si>
  <si>
    <t>feast-of-xurla.webp</t>
  </si>
  <si>
    <t>bonding-honey.webp</t>
  </si>
  <si>
    <t>shrinking-potion.webp</t>
  </si>
  <si>
    <t>growing-potion.webp</t>
  </si>
  <si>
    <t>knowledge-stone.webp</t>
  </si>
  <si>
    <t>sweet-moss.webp</t>
  </si>
  <si>
    <t>blinding-orb.webp</t>
  </si>
  <si>
    <t>death-tea.webp</t>
  </si>
  <si>
    <t>mirror-of-marigold.webp</t>
  </si>
  <si>
    <t>stardrop.webp</t>
  </si>
  <si>
    <t>img-path</t>
  </si>
  <si>
    <t>Premium Bedroll</t>
  </si>
  <si>
    <t>Piper Whistle</t>
  </si>
  <si>
    <t>Charging Quiver</t>
  </si>
  <si>
    <t>Alistair’s Torch</t>
  </si>
  <si>
    <t>Speaking Orbs</t>
  </si>
  <si>
    <t>Manacles</t>
  </si>
  <si>
    <t>Arcane Cloak</t>
  </si>
  <si>
    <t>Woven Net</t>
  </si>
  <si>
    <t>Fire Jar</t>
  </si>
  <si>
    <t>Suspended Rod</t>
  </si>
  <si>
    <t>Glamour Stone</t>
  </si>
  <si>
    <t>Empty Chest</t>
  </si>
  <si>
    <t>Companion Case</t>
  </si>
  <si>
    <t>Piercing Arrows</t>
  </si>
  <si>
    <t>Valorstone</t>
  </si>
  <si>
    <t>You can attach this stone to armor that doesn’t already have a feature. The armor gains the following feature. **Resilient:** Before you mark your last Armor Slot, roll a d6. On a result of 6, reduce the severity by one threshold without marking an Armor Slot.</t>
  </si>
  <si>
    <t>Skeleton Key</t>
  </si>
  <si>
    <t>Arcane Prism</t>
  </si>
  <si>
    <t>Minor Stamina Potion Recipe</t>
  </si>
  <si>
    <t>Minor Health Potion Recipe</t>
  </si>
  <si>
    <t>Homing Compasses</t>
  </si>
  <si>
    <t>Corrector Sprite</t>
  </si>
  <si>
    <t>Gecko Gloves</t>
  </si>
  <si>
    <t>Lorekeeper</t>
  </si>
  <si>
    <t>Vial of Darksmoke Recipe</t>
  </si>
  <si>
    <t>Bloodstone</t>
  </si>
  <si>
    <t>Greatstone</t>
  </si>
  <si>
    <t>Ring of Silence</t>
  </si>
  <si>
    <t>Calming Pendant</t>
  </si>
  <si>
    <t>Dual Flask</t>
  </si>
  <si>
    <t>Bag of Ficklesand</t>
  </si>
  <si>
    <t>Ring of Resistance</t>
  </si>
  <si>
    <t>Phoenix Feather</t>
  </si>
  <si>
    <t>Box of Many Goods</t>
  </si>
  <si>
    <t>Airblade Charm</t>
  </si>
  <si>
    <t>Portal Seed</t>
  </si>
  <si>
    <t>Paragon’s Chain</t>
  </si>
  <si>
    <t>Elusive Amulet</t>
  </si>
  <si>
    <t>Hopekeeper Locket</t>
  </si>
  <si>
    <t>Infinite Bag</t>
  </si>
  <si>
    <t>Stride Relic</t>
  </si>
  <si>
    <t>Bolster Relic</t>
  </si>
  <si>
    <t>Control Relic</t>
  </si>
  <si>
    <t>Attune Relic</t>
  </si>
  <si>
    <t>Charm Relic</t>
  </si>
  <si>
    <t>Enlighten Relic</t>
  </si>
  <si>
    <t>Honing Relic</t>
  </si>
  <si>
    <t>Flickerfly Pendant</t>
  </si>
  <si>
    <t>Lasketider Boots</t>
  </si>
  <si>
    <t>Clay Companion</t>
  </si>
  <si>
    <t>Mythic Dust Recipe</t>
  </si>
  <si>
    <t>Shard of Memory</t>
  </si>
  <si>
    <t>Gem of Alacrity</t>
  </si>
  <si>
    <t>Gem of Might</t>
  </si>
  <si>
    <t>Gem of Precision</t>
  </si>
  <si>
    <t>Gem of Insight</t>
  </si>
  <si>
    <t>Gem of Audacity</t>
  </si>
  <si>
    <t>Gem of Sagacity</t>
  </si>
  <si>
    <t>Ring of Unbreakable Resolve</t>
  </si>
  <si>
    <t>Belt of Unity</t>
  </si>
  <si>
    <t>Synth Premium Bedroll Key</t>
  </si>
  <si>
    <t>During downtime, you automatically clear a Stress. black-market tech favored by runners and fixers</t>
  </si>
  <si>
    <t>synth-premium-bedroll-key</t>
  </si>
  <si>
    <t>modules/cybermancy/assets/icons/loot/synth-premium-bedroll-key.webp</t>
  </si>
  <si>
    <t>Quantum Piper Whistle Injector</t>
  </si>
  <si>
    <t>This handcrafted whistle has a distinctive sound. When you blow this whistle, its piercing tone can be heard within a 1-mile radius. black-market tech favored by runners and fixers</t>
  </si>
  <si>
    <t>quantum-piper-whistle-injector</t>
  </si>
  <si>
    <t>modules/cybermancy/assets/icons/loot/quantum-piper-whistle-injector.webp</t>
  </si>
  <si>
    <t>Quantum Charging Quiver Module</t>
  </si>
  <si>
    <t>When you succeed on an attack with an arrow stored in this quiver, gain a bonus to the damage roll equal to your current tier. black-market tech favored by runners and fixers</t>
  </si>
  <si>
    <t>quantum-charging-quiver-module</t>
  </si>
  <si>
    <t>modules/cybermancy/assets/icons/loot/quantum-charging-quiver-module.webp</t>
  </si>
  <si>
    <t>Cipher Arc Torch</t>
  </si>
  <si>
    <t>You can light this magic torch at will. The flame’s light fills a much larger space than it should, enough to illuminate a cave bright as day. black-market tech favored by runners and fixers</t>
  </si>
  <si>
    <t>cipher-arc-torch</t>
  </si>
  <si>
    <t>modules/cybermancy/assets/icons/loot/cipher-arc-torch.webp</t>
  </si>
  <si>
    <t>Flux Speaking Orbs Key</t>
  </si>
  <si>
    <t>This pair of orbs allows any creatures holding them to communicate with each other across any distance. stores resonance data and telemetry snapshots</t>
  </si>
  <si>
    <t>flux-speaking-orbs-key</t>
  </si>
  <si>
    <t>modules/cybermancy/assets/icons/loot/flux-speaking-orbs-key.webp</t>
  </si>
  <si>
    <t>Synth Manacles Spike</t>
  </si>
  <si>
    <t>This pair of locking cuffs comes with a key. black-market tech favored by runners and fixers</t>
  </si>
  <si>
    <t>synth-manacles-spike</t>
  </si>
  <si>
    <t>modules/cybermancy/assets/icons/loot/synth-manacles-spike.webp</t>
  </si>
  <si>
    <t>Ghost Ghostweave Cloak</t>
  </si>
  <si>
    <t>A creature with a Spellcast trait wearing this cloak can adjust its color, texture, and size at will. blends with urban spectra and sensor noise</t>
  </si>
  <si>
    <t>ghost-ghostweave-cloak</t>
  </si>
  <si>
    <t>modules/cybermancy/assets/icons/loot/ghost-ghostweave-cloak.webp</t>
  </si>
  <si>
    <t>Nano Woven Net Module</t>
  </si>
  <si>
    <t>You can make a Finesse Roll using this net to trap a small creature. A trapped target can break free with a successful Attack Roll (16). black-market tech favored by runners and fixers</t>
  </si>
  <si>
    <t>nano-woven-net-module</t>
  </si>
  <si>
    <t>modules/cybermancy/assets/icons/loot/nano-woven-net-module.webp</t>
  </si>
  <si>
    <t>Chrome Fire Jar Beacon</t>
  </si>
  <si>
    <t>You can pour out the strange liquid contents of this jar to instantly produce fire. The contents regenerate when you take a long rest. black-market tech favored by runners and fixers</t>
  </si>
  <si>
    <t>chrome-fire-jar-beacon</t>
  </si>
  <si>
    <t>modules/cybermancy/assets/icons/loot/chrome-fire-jar-beacon.webp</t>
  </si>
  <si>
    <t>Opti Suspended Rod Spike</t>
  </si>
  <si>
    <t>This flat rod is inscribed with runes. When you activate the rod, it is immediately suspended in place. Until the rod is deactivated, it can’t move, doesn’t abide by the rules of gravity, and remains in place. black-market tech favored by runners and fixers</t>
  </si>
  <si>
    <t>opti-suspended-rod-spike</t>
  </si>
  <si>
    <t>modules/cybermancy/assets/icons/loot/opti-suspended-rod-spike.webp</t>
  </si>
  <si>
    <t>Arc Memory Stone</t>
  </si>
  <si>
    <t>Activate this pebble-sized stone to memorize the appearance of someone you can see. Spend a Hope to magically recreate this guise on yourself as an illusion. stores resonance data and telemetry snapshots</t>
  </si>
  <si>
    <t>arc-memory-stone</t>
  </si>
  <si>
    <t>modules/cybermancy/assets/icons/loot/arc-memory-stone.webp</t>
  </si>
  <si>
    <t>Arc Empty Chest Module</t>
  </si>
  <si>
    <t>This magical chest appears empty. When you speak a specific trigger word or action and open the chest, you can see the items stored within it. black-market tech favored by runners and fixers</t>
  </si>
  <si>
    <t>arc-empty-chest-module</t>
  </si>
  <si>
    <t>modules/cybermancy/assets/icons/loot/arc-empty-chest-module.webp</t>
  </si>
  <si>
    <t>Opti Companion Case Key</t>
  </si>
  <si>
    <t>This case can fit a small animal companion. While the companion is inside, the animal and case are immune to all damage and harmful effects. black-market tech favored by runners and fixers</t>
  </si>
  <si>
    <t>opti-companion-case-key</t>
  </si>
  <si>
    <t>modules/cybermancy/assets/icons/loot/opti-companion-case-key.webp</t>
  </si>
  <si>
    <t>Zero Piercing Arrows Patch</t>
  </si>
  <si>
    <t>Three times per rest when you succeed on an attack with one of these arrows, you can add your Proficiency to the damage roll. black-market tech favored by runners and fixers</t>
  </si>
  <si>
    <t>zero-piercing-arrows-patch</t>
  </si>
  <si>
    <t>modules/cybermancy/assets/icons/loot/zero-piercing-arrows-patch.webp</t>
  </si>
  <si>
    <t>Grid Valorstone Injector</t>
  </si>
  <si>
    <t>grid-valorstone-injector</t>
  </si>
  <si>
    <t>modules/cybermancy/assets/icons/loot/grid-valorstone-injector.webp</t>
  </si>
  <si>
    <t>Arc Intrusion Key</t>
  </si>
  <si>
    <t>When you use this key to open a locked door, you gain advantage on the Finesse Roll. black-market tech favored by runners and fixers</t>
  </si>
  <si>
    <t>arc-intrusion-key</t>
  </si>
  <si>
    <t>modules/cybermancy/assets/icons/loot/arc-intrusion-key.webp</t>
  </si>
  <si>
    <t>Grid Arcane Prism Lens</t>
  </si>
  <si>
    <t>Position this prism in a location of your choosing and activate it. All allies within Close range of it gain a +1 bonus to their Spellcast Rolls. While activated, the prism can’t be moved. Once the prism is deactivated, it can’t be activated again until your n</t>
  </si>
  <si>
    <t>grid-arcane-prism-lens</t>
  </si>
  <si>
    <t>modules/cybermancy/assets/icons/loot/grid-arcane-prism-lens.webp</t>
  </si>
  <si>
    <t>Arc Nanoshot</t>
  </si>
  <si>
    <t>As a downtime move, you can use the bone of a creature to craft a Minor Stamina Potion. nanite payload delivers fast onset effects</t>
  </si>
  <si>
    <t>arc-nanoshot</t>
  </si>
  <si>
    <t>modules/cybermancy/assets/icons/loot/arc-nanoshot.webp</t>
  </si>
  <si>
    <t>Mirror Nanoshot</t>
  </si>
  <si>
    <t>As a downtime move, you can use a vial of blood to craft a Minor Health Potion. nanite payload delivers fast onset effects</t>
  </si>
  <si>
    <t>mirror-nanoshot</t>
  </si>
  <si>
    <t>modules/cybermancy/assets/icons/loot/mirror-nanoshot.webp</t>
  </si>
  <si>
    <t>Chrome Homing Compasses Beacon</t>
  </si>
  <si>
    <t>These two compasses point toward each other no matter how far apart they are. black-market tech favored by runners and fixers</t>
  </si>
  <si>
    <t>chrome-homing-compasses-beacon</t>
  </si>
  <si>
    <t>modules/cybermancy/assets/icons/loot/chrome-homing-compasses-beacon.webp</t>
  </si>
  <si>
    <t>Mirror Corrector Sprite Mask</t>
  </si>
  <si>
    <t>This tiny sprite sits in the curve of your ear canal and whispers helpful advice during combat. Once per short rest, you can gain advantage on an attack roll. black-market tech favored by runners and fixers</t>
  </si>
  <si>
    <t>mirror-corrector-sprite-mask</t>
  </si>
  <si>
    <t>modules/cybermancy/assets/icons/loot/mirror-corrector-sprite-mask.webp</t>
  </si>
  <si>
    <t>Chrome Haptics</t>
  </si>
  <si>
    <t>You can climb up vertical surfaces and across ceilings. blends with urban spectra and sensor noise</t>
  </si>
  <si>
    <t>chrome-haptics</t>
  </si>
  <si>
    <t>modules/cybermancy/assets/icons/loot/chrome-haptics.webp</t>
  </si>
  <si>
    <t>Nano Lorekeeper Patch</t>
  </si>
  <si>
    <t>You can store the name and details of up to three hostile creatures inside this book. You gain a +1 bonus to action rolls against those creatures. black-market tech favored by runners and fixers</t>
  </si>
  <si>
    <t>nano-lorekeeper-patch</t>
  </si>
  <si>
    <t>modules/cybermancy/assets/icons/loot/nano-lorekeeper-patch.webp</t>
  </si>
  <si>
    <t>Grid Vial Of Driver</t>
  </si>
  <si>
    <t>As a downtime move, you can mark a Stress to craft a Vial of Darksmoke. nanite payload delivers fast onset effects</t>
  </si>
  <si>
    <t>grid-vial-of-driver</t>
  </si>
  <si>
    <t>modules/cybermancy/assets/icons/loot/grid-vial-of-driver.webp</t>
  </si>
  <si>
    <t>Opti Bloodstone Injector</t>
  </si>
  <si>
    <t>You can attach this stone to a weapon that doesn’t already have a feature. The weapon gains the following feature. ***Brutal:*** When you roll the maximum value on a damage die, roll an additional damage die. stores resonance data and telemetry snapshots</t>
  </si>
  <si>
    <t>opti-bloodstone-injector</t>
  </si>
  <si>
    <t>modules/cybermancy/assets/icons/loot/opti-bloodstone-injector.webp</t>
  </si>
  <si>
    <t>Arc Greatstone Relay</t>
  </si>
  <si>
    <t>You can attach this stone to a weapon that doesn’t already have a feature. The weapon gains the following feature. ***Powerful:*** On a successful attack, roll an additional damage die and discard the lowest result. stores resonance data and telemetry snapshot</t>
  </si>
  <si>
    <t>arc-greatstone-relay</t>
  </si>
  <si>
    <t>modules/cybermancy/assets/icons/loot/arc-greatstone-relay.webp</t>
  </si>
  <si>
    <t>Black Glider Beacon</t>
  </si>
  <si>
    <t>While falling, you can mark a Stress to deploy this small parachute and glide safely to the ground. black-market tech favored by runners and fixers</t>
  </si>
  <si>
    <t>black-glider-beacon</t>
  </si>
  <si>
    <t>modules/cybermancy/assets/icons/loot/black-glider-beacon.webp</t>
  </si>
  <si>
    <t>Neo Circuit Ring</t>
  </si>
  <si>
    <t>Spend a Hope to activate this ring. Your footsteps are silent until your next rest. cryptographic sigils route through subdermal coils</t>
  </si>
  <si>
    <t>neo-circuit-ring</t>
  </si>
  <si>
    <t>modules/cybermancy/assets/icons/loot/neo-circuit-ring.webp</t>
  </si>
  <si>
    <t>Cipher Calming Pendant Lens</t>
  </si>
  <si>
    <t>When you would mark your last Stress, roll a d6. On a result of 5 or higher, don’t mark it. black-market tech favored by runners and fixers</t>
  </si>
  <si>
    <t>cipher-calming-pendant-lens</t>
  </si>
  <si>
    <t>modules/cybermancy/assets/icons/loot/cipher-calming-pendant-lens.webp</t>
  </si>
  <si>
    <t>Neo Dual Flask Driver</t>
  </si>
  <si>
    <t>This flask can hold two different liquids. You can swap between them by flipping a small switch on the flask’s side. black-market tech favored by runners and fixers</t>
  </si>
  <si>
    <t>neo-dual-flask-driver</t>
  </si>
  <si>
    <t>modules/cybermancy/assets/icons/loot/neo-dual-flask-driver.webp</t>
  </si>
  <si>
    <t>Nano Cache Pack</t>
  </si>
  <si>
    <t>You can convince this small bag of sand to be much heavier or lighter with a successful Presence Roll (10). Additionally, on a successful Finesse Roll (10), you can blow a bit of sand into a target’s face to make them temporarily **Vulnerable**. black-market t</t>
  </si>
  <si>
    <t>nano-cache-pack</t>
  </si>
  <si>
    <t>modules/cybermancy/assets/icons/loot/nano-cache-pack.webp</t>
  </si>
  <si>
    <t>Flux Circuit Ring</t>
  </si>
  <si>
    <t>Once per long rest, you can activate this ring after a successful attack against you to halve the damage. cryptographic sigils route through subdermal coils</t>
  </si>
  <si>
    <t>flux-circuit-ring</t>
  </si>
  <si>
    <t>modules/cybermancy/assets/icons/loot/flux-circuit-ring.webp</t>
  </si>
  <si>
    <t>Street Phoenix Feather Module</t>
  </si>
  <si>
    <t>If you have at least one Phoenix Feather on you when you fall unconscious, you gain a +1 bonus to the roll you make to determine whether you gain a scar. black-market tech favored by runners and fixers</t>
  </si>
  <si>
    <t>street-phoenix-feather-module</t>
  </si>
  <si>
    <t>modules/cybermancy/assets/icons/loot/street-phoenix-feather-module.webp</t>
  </si>
  <si>
    <t>Quantum Box Of Chip</t>
  </si>
  <si>
    <t>Once per long rest, you can open this small box and roll a d12. On a result of 1–6, it’s empty. On a result of 7–10, it contains one random common consumable. On a result of 11–12, it contains two random common consumables. black-market tech favored by runners</t>
  </si>
  <si>
    <t>quantum-box-of-chip</t>
  </si>
  <si>
    <t>modules/cybermancy/assets/icons/loot/quantum-box-of-chip.webp</t>
  </si>
  <si>
    <t>Ghost Luck Patch</t>
  </si>
  <si>
    <t>You can attach this charm to a weapon with a Melee range. Three times per rest, you can activate the charm and attack a target within Close range. cryptographic sigils route through subdermal coils tuned for close-quarters in blackout zones</t>
  </si>
  <si>
    <t>ghost-luck-patch</t>
  </si>
  <si>
    <t>modules/cybermancy/assets/icons/loot/ghost-luck-patch.webp</t>
  </si>
  <si>
    <t>Street Portal Seed Seal</t>
  </si>
  <si>
    <t>You can plant this seed in the ground to grow a portal in that spot. The portal is ready to use in 24 hours. You can use this portal to travel to any other location where you planted a portal seed. A portal can be destroyed by dealing any amount of magic damag</t>
  </si>
  <si>
    <t>street-portal-seed-seal</t>
  </si>
  <si>
    <t>modules/cybermancy/assets/icons/loot/street-portal-seed-seal.webp</t>
  </si>
  <si>
    <t>Street Paragons Chain Injector</t>
  </si>
  <si>
    <t>As a downtime move, you can meditate on an ideal or principle you hold dear and focus your will into this chain. Once per long rest, you can spend a Hope to roll a d20 as your Hope Die for rolls that directly align with that principle. black-market tech favore</t>
  </si>
  <si>
    <t>street-paragons-chain-injector</t>
  </si>
  <si>
    <t>modules/cybermancy/assets/icons/loot/street-paragons-chain-injector.webp</t>
  </si>
  <si>
    <t>Zero Quantum Amulet</t>
  </si>
  <si>
    <t>Once per long rest, you can activate this amulet to become **Hidden** until you move. While **Hidden** in this way, you remain unseen even if an adversary moves to where they would normally see you. cryptographic sigils route through subdermal coils</t>
  </si>
  <si>
    <t>zero-quantum-amulet</t>
  </si>
  <si>
    <t>modules/cybermancy/assets/icons/loot/zero-quantum-amulet.webp</t>
  </si>
  <si>
    <t>Ghost Hopekeeper Locket Node</t>
  </si>
  <si>
    <t>During a long rest, if you have 6 Hope, you can spend a Hope to imbue this locket with your bountiful resolve. When you have 0 Hope, you can use the locket to immediately gain a Hope. The locket must be re-imbued before it can be used this way again. black-mar</t>
  </si>
  <si>
    <t>ghost-hopekeeper-locket-node</t>
  </si>
  <si>
    <t>modules/cybermancy/assets/icons/loot/ghost-hopekeeper-locket-node.webp</t>
  </si>
  <si>
    <t>Quantum Cache Pack</t>
  </si>
  <si>
    <t>When you store items in this bag, they are kept in a pocket dimension that never runs out of space. You can retrieve an item at any time. black-market tech favored by runners and fixers</t>
  </si>
  <si>
    <t>quantum-cache-pack</t>
  </si>
  <si>
    <t>modules/cybermancy/assets/icons/loot/quantum-cache-pack.webp</t>
  </si>
  <si>
    <t>Arc Stride Relic Shard</t>
  </si>
  <si>
    <t>You gain a +1 bonus to your Agility. You can only carry one relic. black-market tech favored by runners and fixers</t>
  </si>
  <si>
    <t>arc-stride-relic-shard</t>
  </si>
  <si>
    <t>modules/cybermancy/assets/icons/loot/arc-stride-relic-shard.webp</t>
  </si>
  <si>
    <t>Flux Bolster Relic Relay</t>
  </si>
  <si>
    <t>You gain a +1 bonus to your Strength. You can only carry one relic. black-market tech favored by runners and fixers</t>
  </si>
  <si>
    <t>flux-bolster-relic-relay</t>
  </si>
  <si>
    <t>modules/cybermancy/assets/icons/loot/flux-bolster-relic-relay.webp</t>
  </si>
  <si>
    <t>Ghost Control Relic Injector</t>
  </si>
  <si>
    <t>You gain a +1 bonus to your Finesse. You can only carry one relic. black-market tech favored by runners and fixers</t>
  </si>
  <si>
    <t>ghost-control-relic-injector</t>
  </si>
  <si>
    <t>modules/cybermancy/assets/icons/loot/ghost-control-relic-injector.webp</t>
  </si>
  <si>
    <t>Ghost Attune Relic Mask</t>
  </si>
  <si>
    <t>You gain a +1 bonus to your Instinct. You can only carry one relic. black-market tech favored by runners and fixers</t>
  </si>
  <si>
    <t>ghost-attune-relic-mask</t>
  </si>
  <si>
    <t>modules/cybermancy/assets/icons/loot/ghost-attune-relic-mask.webp</t>
  </si>
  <si>
    <t>Cipher Luck Patch</t>
  </si>
  <si>
    <t>You gain a +1 bonus to your Presence. You can only carry one relic. cryptographic sigils route through subdermal coils</t>
  </si>
  <si>
    <t>cipher-luck-patch</t>
  </si>
  <si>
    <t>modules/cybermancy/assets/icons/loot/cipher-luck-patch.webp</t>
  </si>
  <si>
    <t>Synth Enlighten Relic Patch</t>
  </si>
  <si>
    <t>You gain a +1 bonus to your Knowledge. You can only carry one relic. black-market tech favored by runners and fixers</t>
  </si>
  <si>
    <t>synth-enlighten-relic-patch</t>
  </si>
  <si>
    <t>modules/cybermancy/assets/icons/loot/synth-enlighten-relic-patch.webp</t>
  </si>
  <si>
    <t>Opti Honing Relic Patch</t>
  </si>
  <si>
    <t>You gain a +1 bonus to an Experience of your choice. You can only carry one relic. black-market tech favored by runners and fixers</t>
  </si>
  <si>
    <t>opti-honing-relic-patch</t>
  </si>
  <si>
    <t>modules/cybermancy/assets/icons/loot/opti-honing-relic-patch.webp</t>
  </si>
  <si>
    <t>Chrome Flickerfly Pendant Driver</t>
  </si>
  <si>
    <t>While you carry this pendant, your weapons with a Melee range that deal physical damage have a gossamer sheen and can attack targets within Very Close range. black-market tech favored by runners and fixers</t>
  </si>
  <si>
    <t>chrome-flickerfly-pendant-driver</t>
  </si>
  <si>
    <t>modules/cybermancy/assets/icons/loot/chrome-flickerfly-pendant-driver.webp</t>
  </si>
  <si>
    <t>Mirror Grav Boots</t>
  </si>
  <si>
    <t>You can walk on the surface of water as if it were soft ground. blends with urban spectra and sensor noise</t>
  </si>
  <si>
    <t>mirror-grav-boots</t>
  </si>
  <si>
    <t>modules/cybermancy/assets/icons/loot/mirror-grav-boots.webp</t>
  </si>
  <si>
    <t>Ghost Clay Companion Relay</t>
  </si>
  <si>
    <t xml:space="preserve">When you sculpt this ball of clay into a clay animal companion, it behaves as that animal. For example, a clay spider can spin clay webs, while a clay bird can fly. The clay companion retains memory and identity across different shapes, but they can adopt new </t>
  </si>
  <si>
    <t>ghost-clay-companion-relay</t>
  </si>
  <si>
    <t>modules/cybermancy/assets/icons/loot/ghost-clay-companion-relay.webp</t>
  </si>
  <si>
    <t>Street Mythic Dust Cache</t>
  </si>
  <si>
    <t>As a downtime move, you can use a handful of fine gold dust to craft Mythic Dust. black-market tech favored by runners and fixers</t>
  </si>
  <si>
    <t>street-mythic-dust-cache</t>
  </si>
  <si>
    <t>modules/cybermancy/assets/icons/loot/street-mythic-dust-cache.webp</t>
  </si>
  <si>
    <t>Cipher Shard Of Node</t>
  </si>
  <si>
    <t>Once per long rest, you can spend 2 Hope to recall a domain card from your vault instead of paying its Recall Cost. black-market tech favored by runners and fixers</t>
  </si>
  <si>
    <t>cipher-shard-of-node</t>
  </si>
  <si>
    <t>modules/cybermancy/assets/icons/loot/cipher-shard-of-node.webp</t>
  </si>
  <si>
    <t>Street Data Gem</t>
  </si>
  <si>
    <t>You can attach this gem to a weapon, allowing you to use your Agility when making an attack with that weapon. stores resonance data and telemetry snapshots</t>
  </si>
  <si>
    <t>street-data-gem</t>
  </si>
  <si>
    <t>modules/cybermancy/assets/icons/loot/street-data-gem.webp</t>
  </si>
  <si>
    <t>Synth Data Gem</t>
  </si>
  <si>
    <t>You can attach this gem to a weapon, allowing you to use your Strength when making an attack with that weapon. stores resonance data and telemetry snapshots</t>
  </si>
  <si>
    <t>synth-data-gem</t>
  </si>
  <si>
    <t>modules/cybermancy/assets/icons/loot/synth-data-gem.webp</t>
  </si>
  <si>
    <t>Nano Data Gem</t>
  </si>
  <si>
    <t>You can attach this gem to a weapon, allowing you to use your Finesse when making an attack with that weapon. stores resonance data and telemetry snapshots</t>
  </si>
  <si>
    <t>nano-data-gem</t>
  </si>
  <si>
    <t>modules/cybermancy/assets/icons/loot/nano-data-gem.webp</t>
  </si>
  <si>
    <t>Patterned Data Gem</t>
  </si>
  <si>
    <t>You can attach this gem to a weapon, allowing you to use your Instinct when making an attack with that weapon. stores resonance data and telemetry snapshots</t>
  </si>
  <si>
    <t>arc-data-gem</t>
  </si>
  <si>
    <t>modules/cybermancy/assets/icons/loot/arc-data-gem.webp</t>
  </si>
  <si>
    <t>Arc Data Gem</t>
  </si>
  <si>
    <t>You can attach this gem to a weapon, allowing you to use your Presence when making an attack with that weapon. stores resonance data and telemetry snapshots</t>
  </si>
  <si>
    <t>Chrome Data Gem</t>
  </si>
  <si>
    <t>You can attach this gem to a weapon, allowing you to use your Knowledge when making an attack with that weapon. stores resonance data and telemetry snapshots</t>
  </si>
  <si>
    <t>chrome-data-gem</t>
  </si>
  <si>
    <t>modules/cybermancy/assets/icons/loot/chrome-data-gem.webp</t>
  </si>
  <si>
    <t>Mirror Circuit Ring</t>
  </si>
  <si>
    <t>Once per session, when the GM spends a Fear, you can spend 4 Hope to cancel the effects of that spent Fear. cryptographic sigils route through subdermal coils</t>
  </si>
  <si>
    <t>mirror-circuit-ring</t>
  </si>
  <si>
    <t>modules/cybermancy/assets/icons/loot/mirror-circuit-ring.webp</t>
  </si>
  <si>
    <t>Synth Utility Belt</t>
  </si>
  <si>
    <t>Once per session, you can spend 5 Hope to lead a Tag Team Roll with three PCs instead of two. blends with urban spectra and sensor noise</t>
  </si>
  <si>
    <t>synth-utility-belt</t>
  </si>
  <si>
    <t>modules/cybermancy/assets/icons/loot/synth-utility-belt.webp</t>
  </si>
  <si>
    <t>Deep search</t>
  </si>
  <si>
    <t>Deep fake</t>
  </si>
  <si>
    <t>Improve Hack rolls</t>
  </si>
  <si>
    <t>Digital Recon</t>
  </si>
  <si>
    <t>Name</t>
  </si>
  <si>
    <t>Description</t>
  </si>
  <si>
    <t>Tier</t>
  </si>
  <si>
    <t>Difficulty</t>
  </si>
  <si>
    <t>Alert</t>
  </si>
  <si>
    <t>Raise the System Alert 1 level</t>
  </si>
  <si>
    <t>Booted</t>
  </si>
  <si>
    <t>Raise the System Alert 1 level and Difficulty goes up by 1</t>
  </si>
  <si>
    <t>Protect core functions</t>
  </si>
  <si>
    <t>All function require Control</t>
  </si>
  <si>
    <t>Zap</t>
  </si>
  <si>
    <t>Do 1 Stress damage</t>
  </si>
  <si>
    <t>Sensory feedback</t>
  </si>
  <si>
    <t>-1 to next Hacking roll</t>
  </si>
  <si>
    <t>Sensory overload</t>
  </si>
  <si>
    <t>Give the Confused condition, Evasion -2 until passes a Instinct Check</t>
  </si>
  <si>
    <t>Combat</t>
  </si>
  <si>
    <t>Improve Hacking</t>
  </si>
  <si>
    <t>Creative coding</t>
  </si>
  <si>
    <t>Scenario</t>
  </si>
  <si>
    <t>Field Experience</t>
  </si>
  <si>
    <t>General aid</t>
  </si>
  <si>
    <t>Role playing</t>
  </si>
  <si>
    <t>Short Circuit</t>
  </si>
  <si>
    <t>Matrix mind</t>
  </si>
  <si>
    <t>Cybernetics syndrome</t>
  </si>
  <si>
    <t>Cyberware Malfunction</t>
  </si>
  <si>
    <t>All quiet here, how are you?</t>
  </si>
  <si>
    <t>Scene management</t>
  </si>
  <si>
    <t>Crowd control</t>
  </si>
  <si>
    <t>Patience Young Padawan</t>
  </si>
  <si>
    <t>Theme</t>
  </si>
  <si>
    <t>Ability</t>
  </si>
  <si>
    <t>“Turns out, rushing a hack only impresses the ICE.”</t>
  </si>
  <si>
    <t>Quick Hack</t>
  </si>
  <si>
    <t>“For when you don’t have time to be subtle… or alive.”</t>
  </si>
  <si>
    <t>“You’ve seen this circuit before — probably in the wreckage of your last run.”</t>
  </si>
  <si>
    <t>Signal Boost</t>
  </si>
  <si>
    <t>“Sometimes all you need is a better connection.”</t>
  </si>
  <si>
    <t>Strobe Effect</t>
  </si>
  <si>
    <t>“Flash ’em, crash ’em, and walk out glowing.”</t>
  </si>
  <si>
    <t>Elevate Permission</t>
  </si>
  <si>
    <t>“Because root access is a state of mind.”</t>
  </si>
  <si>
    <t>Ghost Signal</t>
  </si>
  <si>
    <t>“Sometimes your best ally is a flickering echo of bad code.”</t>
  </si>
  <si>
    <t>Static Veil</t>
  </si>
  <si>
    <t>Reaction</t>
  </si>
  <si>
    <t>“The perfect invisibility cloak smells faintly of ozone.”</t>
  </si>
  <si>
    <t>“Push it past the redline — what’s the worst that could happen?”</t>
  </si>
  <si>
    <t>“The Grid whispers, if you know how to listen.”</t>
  </si>
  <si>
    <t>“If at first you don’t succeed, reboot and lie about it.”</t>
  </si>
  <si>
    <t>“Two heads, one neural network.”</t>
  </si>
  <si>
    <t>Synchronized Uplink</t>
  </si>
  <si>
    <t>“When the team shares your mind, chaos becomes choreography.”</t>
  </si>
  <si>
    <t>“Your paranoia finally pays dividends.”</t>
  </si>
  <si>
    <t>“Sometimes the best fix is a hard crash.”</t>
  </si>
  <si>
    <t>“When code and soul sync, reality gets a patch update.”</t>
  </si>
  <si>
    <t>Smartwire Reflex</t>
  </si>
  <si>
    <t>Passive</t>
  </si>
  <si>
    <t>“You’re half machine — might as well let it drive.”</t>
  </si>
  <si>
    <t>Ghost Protocol</t>
  </si>
  <si>
    <t>Environment</t>
  </si>
  <si>
    <t>“Being off the grid never felt so literal.”</t>
  </si>
  <si>
    <t>Feedback Spike</t>
  </si>
  <si>
    <t>“Return to sender.”</t>
  </si>
  <si>
    <t>"It's full of stars… !"</t>
  </si>
  <si>
    <t>“Every brain’s got a port — some just need a gentle knock.”</t>
  </si>
  <si>
    <t>Reality Patch</t>
  </si>
  <si>
    <t>“If you can code it, you can unbreak it.”</t>
  </si>
  <si>
    <t>“The universe called — it wants its encryption key back.”</t>
  </si>
  <si>
    <t>Circuit Ideas</t>
  </si>
  <si>
    <t>7. Data Surge</t>
  </si>
  <si>
    <t>16. Resonant Field</t>
  </si>
  <si>
    <t>18. Recursive Mind</t>
  </si>
  <si>
    <t>Once per Long Rest, when you would fail a Knowledge or Instinct roll, you can instantly rerun the mental algorithm and reroll it with advantage.</t>
  </si>
  <si>
    <t>Power Surge</t>
  </si>
  <si>
    <t>“If they can’t tell what’s real, you’ve already won.”</t>
  </si>
  <si>
    <t>“Unstable? Sure. Unstoppable? Also yes.”</t>
  </si>
  <si>
    <t>Neural Backdoor</t>
  </si>
  <si>
    <t>“Turn the lights off, turn the odds on.”</t>
  </si>
  <si>
    <t>Circuit Breaker</t>
  </si>
  <si>
    <t>Adaptive Firewall</t>
  </si>
  <si>
    <t>Bandwidth Theft</t>
  </si>
  <si>
    <t>“Why pay for processing when you can borrow someone else’s?”</t>
  </si>
  <si>
    <t>Digital Ghost</t>
  </si>
  <si>
    <t>“They can’t hit what’s already deleted.”</t>
  </si>
  <si>
    <t>System Reboot</t>
  </si>
  <si>
    <t>12. Circuit Communion</t>
  </si>
  <si>
    <t>domain</t>
  </si>
  <si>
    <t>recallCost</t>
  </si>
  <si>
    <t>blurb</t>
  </si>
  <si>
    <t>non-specific-attack</t>
  </si>
  <si>
    <t>Bullet Time</t>
  </si>
  <si>
    <t>Reflex enhancement</t>
  </si>
  <si>
    <t>Anticipate incoming attacks and move before they happen.</t>
  </si>
  <si>
    <t>domainCard</t>
  </si>
  <si>
    <t>ability</t>
  </si>
  <si>
    <t>You’re never where they’re aiming.</t>
  </si>
  <si>
    <t>Shoot Around Corners</t>
  </si>
  <si>
    <t>Trick shooting</t>
  </si>
  <si>
    <t>Fire at enemies without line of sight using ricochets and angles.</t>
  </si>
  <si>
    <t>Geometry is your ally.</t>
  </si>
  <si>
    <t>Snapshot</t>
  </si>
  <si>
    <t>Quick reaction</t>
  </si>
  <si>
    <t>Interrupt an opponent mid-action with a lightning-fast shot.</t>
  </si>
  <si>
    <t>Faster than the spotlight.</t>
  </si>
  <si>
    <t>Quick Reload</t>
  </si>
  <si>
    <t>Reload manipulation</t>
  </si>
  <si>
    <t>Swap ammo types effortlessly.</t>
  </si>
  <si>
    <t>Reloading is for amateurs.</t>
  </si>
  <si>
    <t>Gunsmith</t>
  </si>
  <si>
    <t>Weapon mastery</t>
  </si>
  <si>
    <t>Customize and maintain weaponry beyond factory limits.</t>
  </si>
  <si>
    <t>Your tools are extensions of your will.</t>
  </si>
  <si>
    <t>Gun Trainer</t>
  </si>
  <si>
    <t>Firearm instruction</t>
  </si>
  <si>
    <t>Train others in advanced firearm techniques.</t>
  </si>
  <si>
    <t>You teach death politely.</t>
  </si>
  <si>
    <t>Quick Shot</t>
  </si>
  <si>
    <t>Speed attack</t>
  </si>
  <si>
    <t>Fire multiple rounds before others can react.</t>
  </si>
  <si>
    <t>Two shots, one heartbeat.</t>
  </si>
  <si>
    <t>Targeted Shot</t>
  </si>
  <si>
    <t>Precision strike</t>
  </si>
  <si>
    <t>Aim for weak points and disable.</t>
  </si>
  <si>
    <t>Precision is compassion—end it cleanly.</t>
  </si>
  <si>
    <t>Assess Weapon</t>
  </si>
  <si>
    <t>Analytical skill</t>
  </si>
  <si>
    <t>Analyze an enemy’s weapon to exploit weaknesses.</t>
  </si>
  <si>
    <t>Every gun tells a story.</t>
  </si>
  <si>
    <t>Rapid Fire</t>
  </si>
  <si>
    <t>Volume of fire</t>
  </si>
  <si>
    <t>Unload at blistering speed.</t>
  </si>
  <si>
    <t>The sound of inevitability.</t>
  </si>
  <si>
    <t>Trick Shot</t>
  </si>
  <si>
    <t>Creative aiming</t>
  </si>
  <si>
    <t>Perform shots that defy logic and impress onlookers.</t>
  </si>
  <si>
    <t>Style points count double.</t>
  </si>
  <si>
    <t>Knee Slide</t>
  </si>
  <si>
    <t>Mobile assault</t>
  </si>
  <si>
    <t>Move and fire in cinematic motion.</t>
  </si>
  <si>
    <t>The floor is your runway.</t>
  </si>
  <si>
    <t>Pistol Whip</t>
  </si>
  <si>
    <t>Close-quarters combat</t>
  </si>
  <si>
    <t>Use your firearm as a melee weapon.</t>
  </si>
  <si>
    <t>Sometimes subtlety isn’t loaded.</t>
  </si>
  <si>
    <t>Marksman</t>
  </si>
  <si>
    <t>Precision focus</t>
  </si>
  <si>
    <t>Channel focus for lethal accuracy.</t>
  </si>
  <si>
    <t>One bullet, one breath.</t>
  </si>
  <si>
    <t>Improvised Weapon</t>
  </si>
  <si>
    <t>Adaptation</t>
  </si>
  <si>
    <t>Use anything nearby as a weapon.</t>
  </si>
  <si>
    <t>The world is your arsenal.</t>
  </si>
  <si>
    <t>Intimidation</t>
  </si>
  <si>
    <t>Presence</t>
  </si>
  <si>
    <t>Weaponized demeanor.</t>
  </si>
  <si>
    <t>Fear is the first bullet.</t>
  </si>
  <si>
    <t>Controlled chaos</t>
  </si>
  <si>
    <t>Fire a cone of bullets into a group.</t>
  </si>
  <si>
    <t>Suppression by saturation.</t>
  </si>
  <si>
    <t>Full Automatic</t>
  </si>
  <si>
    <t>Suppressive sweep</t>
  </si>
  <si>
    <t>Spray everything in front of you.</t>
  </si>
  <si>
    <t>Mercy jammed with the trigger.</t>
  </si>
  <si>
    <t>Sniper Shot</t>
  </si>
  <si>
    <t>Long-range attack</t>
  </si>
  <si>
    <t>Patient, lethal precision.</t>
  </si>
  <si>
    <t>Stillness is your superpower.</t>
  </si>
  <si>
    <t>Suppressing Fire</t>
  </si>
  <si>
    <t>Area control</t>
  </si>
  <si>
    <t>Keep enemies pinned.</t>
  </si>
  <si>
    <t>The air itself becomes hostile.</t>
  </si>
  <si>
    <t>Body Shield</t>
  </si>
  <si>
    <t>Desperation defense</t>
  </si>
  <si>
    <t>Use a foe as living cover.</t>
  </si>
  <si>
    <t>Pragmatism over pity.</t>
  </si>
  <si>
    <t>Fixer</t>
  </si>
  <si>
    <t>Underground access</t>
  </si>
  <si>
    <t>Black-market connections.</t>
  </si>
  <si>
    <t>The streets remember your name.</t>
  </si>
  <si>
    <t>Bodyguard</t>
  </si>
  <si>
    <t>Ricochet</t>
  </si>
  <si>
    <t>Deflection shot</t>
  </si>
  <si>
    <t>Hit targets behind cover.</t>
  </si>
  <si>
    <t>Bullets obey geometry, not walls.</t>
  </si>
  <si>
    <t>Situational Awareness</t>
  </si>
  <si>
    <t>Environmental scanning</t>
  </si>
  <si>
    <t>Hyper-awareness of threats.</t>
  </si>
  <si>
    <t>Nothing moves without you noticing.</t>
  </si>
  <si>
    <t>system.level</t>
  </si>
  <si>
    <t>Stealth Drone</t>
  </si>
  <si>
    <t>Surveillance</t>
  </si>
  <si>
    <t>Deploy a small, silent recon drone for scouting and intel gathering.</t>
  </si>
  <si>
    <t>Your eyes are everywhere.</t>
  </si>
  <si>
    <t>Patch Job</t>
  </si>
  <si>
    <t>Repair</t>
  </si>
  <si>
    <t>Field repair your tech mid-battle.</t>
  </si>
  <si>
    <t>Duct tape, hope, and brilliance.</t>
  </si>
  <si>
    <t>Quick Change</t>
  </si>
  <si>
    <t>Modular adaptation</t>
  </si>
  <si>
    <t>Swap hardware on the fly.</t>
  </si>
  <si>
    <t>The right tool for the wrong moment.</t>
  </si>
  <si>
    <t>Improvised Mod</t>
  </si>
  <si>
    <t>Creative engineering</t>
  </si>
  <si>
    <t>Hack together a temporary upgrade.</t>
  </si>
  <si>
    <t>Improvise, adapt, overclock.</t>
  </si>
  <si>
    <t>Explosive Detonation</t>
  </si>
  <si>
    <t>Offensive engineering</t>
  </si>
  <si>
    <t>Trigger remote explosions through your drone network.</t>
  </si>
  <si>
    <t>Precision demolition by proxy.</t>
  </si>
  <si>
    <t>Drone Harness</t>
  </si>
  <si>
    <t>Drone management</t>
  </si>
  <si>
    <t>Maintain a network of functional support drones.</t>
  </si>
  <si>
    <t>Your swarm awaits command.</t>
  </si>
  <si>
    <t>modules/cybermancy/assets/icons/domains/drone-harness.png</t>
  </si>
  <si>
    <t>Drone Swarm</t>
  </si>
  <si>
    <t>Deploy a coordinated drone assault.</t>
  </si>
  <si>
    <t>You are never outnumbered.</t>
  </si>
  <si>
    <t>Getaway Vehicle</t>
  </si>
  <si>
    <t>Mobility</t>
  </si>
  <si>
    <t>Pilot your custom ride to escape any pursuit.</t>
  </si>
  <si>
    <t>Drive fast, live smarter.</t>
  </si>
  <si>
    <t>Urban Assault Vehicle</t>
  </si>
  <si>
    <t>Combat transport</t>
  </si>
  <si>
    <t>Command a heavily armed vehicle for combat.</t>
  </si>
  <si>
    <t>War van supremacy.</t>
  </si>
  <si>
    <t>Air Support</t>
  </si>
  <si>
    <t>Tactical overwatch</t>
  </si>
  <si>
    <t>Coordinate multiple airborne drones.</t>
  </si>
  <si>
    <t>The sky belongs to you.</t>
  </si>
  <si>
    <t>Improvise Equipment</t>
  </si>
  <si>
    <t>Field invention</t>
  </si>
  <si>
    <t>Fabricate tools from scrap.</t>
  </si>
  <si>
    <t>If you can imagine it, you can build it.</t>
  </si>
  <si>
    <t>Engineer Solution</t>
  </si>
  <si>
    <t>Advanced fabrication</t>
  </si>
  <si>
    <t>Build complex systems with time and patience.</t>
  </si>
  <si>
    <t>Innovation given form.</t>
  </si>
  <si>
    <t>Plant Tracker</t>
  </si>
  <si>
    <t>Covert tech</t>
  </si>
  <si>
    <t>Tag and track targets.</t>
  </si>
  <si>
    <t>They can run, but they can’t hide.</t>
  </si>
  <si>
    <t>Assess Equipment</t>
  </si>
  <si>
    <t>Analysis</t>
  </si>
  <si>
    <t>Study devices to extract knowledge.</t>
  </si>
  <si>
    <t>Every circuit tells a secret.</t>
  </si>
  <si>
    <t>Acquisition</t>
  </si>
  <si>
    <t>Access a network of suppliers.</t>
  </si>
  <si>
    <t>You know who to call.</t>
  </si>
  <si>
    <t>Multitalented</t>
  </si>
  <si>
    <t>Cross-discipline</t>
  </si>
  <si>
    <t>Expand your technical repertoire.</t>
  </si>
  <si>
    <t>Expertise knows no boundaries.</t>
  </si>
  <si>
    <t>Maintenance</t>
  </si>
  <si>
    <t>Restore and reinforce protection.</t>
  </si>
  <si>
    <t>Armor is just skin for machines.</t>
  </si>
  <si>
    <t>Project Manager</t>
  </si>
  <si>
    <t>Coordination</t>
  </si>
  <si>
    <t>Organize your team for efficiency.</t>
  </si>
  <si>
    <t>Leadership through logistics.</t>
  </si>
  <si>
    <t>Good Maintenance</t>
  </si>
  <si>
    <t>Reliability</t>
  </si>
  <si>
    <t>Keep your weapons battle-ready.</t>
  </si>
  <si>
    <t>A well-oiled machine never quits.</t>
  </si>
  <si>
    <t>Drone Control</t>
  </si>
  <si>
    <t>Drone offense</t>
  </si>
  <si>
    <t>Direct your drone in combat.</t>
  </si>
  <si>
    <t>Precision through proxies.</t>
  </si>
  <si>
    <t>Drone Maneuver</t>
  </si>
  <si>
    <t>Drone defense</t>
  </si>
  <si>
    <t>Protect your drone through quick reactions.</t>
  </si>
  <si>
    <t>Dodge by remote instinct.</t>
  </si>
  <si>
    <t>Power Boost</t>
  </si>
  <si>
    <t>Drone empowerment</t>
  </si>
  <si>
    <t>Supercharge your drone’s offense.</t>
  </si>
  <si>
    <t>Overclocked aggression.</t>
  </si>
  <si>
    <t>Flying Drone</t>
  </si>
  <si>
    <t>Aerial mobility</t>
  </si>
  <si>
    <t>Upgrade your drone for flight.</t>
  </si>
  <si>
    <t>The sky hums with your genius.</t>
  </si>
  <si>
    <t>Chinook</t>
  </si>
  <si>
    <t>Heavy lift</t>
  </si>
  <si>
    <t>Convert your drone into a transport.</t>
  </si>
  <si>
    <t>Airlift on demand.</t>
  </si>
  <si>
    <t>Analyst</t>
  </si>
  <si>
    <t>Technical insight</t>
  </si>
  <si>
    <t>Study the environment with unparalleled focus.</t>
  </si>
  <si>
    <t>Knowledge is the best weapon.</t>
  </si>
  <si>
    <t>I need a list of non-combat, atomic drone effects.  Maybe like Thermaturgy?  That seems boring</t>
  </si>
  <si>
    <t>short-description</t>
  </si>
  <si>
    <t>Maker Ideas</t>
  </si>
  <si>
    <t>Spend 1 Hope to flood an creature’s systems or mindware with data. Target rolls a Fear test or becomes Dazed for one round.</t>
  </si>
  <si>
    <t>Once per Scene, when you would take electric, energy, or sonic damage, reduce it by half and deal 1d8 to all creatures in Close range.</t>
  </si>
  <si>
    <t>Driving Expert</t>
  </si>
  <si>
    <t>Driving</t>
  </si>
  <si>
    <t>Speed racer's got nothing on you!</t>
  </si>
  <si>
    <t>All Driving checks are +2.  Each time you are Spotlighted while Driving, you may also take an Attack Action.</t>
  </si>
  <si>
    <t>Expert Driver</t>
  </si>
  <si>
    <t>circuit</t>
  </si>
  <si>
    <t>bullet</t>
  </si>
  <si>
    <t>maker</t>
  </si>
  <si>
    <t>gun-trainer</t>
  </si>
  <si>
    <t>bodyguard</t>
  </si>
  <si>
    <t>situational-awareness</t>
  </si>
  <si>
    <t>drone-control</t>
  </si>
  <si>
    <t>Netrunner</t>
  </si>
  <si>
    <t>class-netrunner</t>
  </si>
  <si>
    <t>netrunner</t>
  </si>
  <si>
    <t>Hacking, hiding, and infiltrating.  A digital ghost (and sometimes a physical one as well).  The class I’m going for should feel like the player has access to touch the digital space just about anywhere in the urban world.  They are almost a cross between a Sorcerer and  Rogue.  On a Shadowrun, they should feel like they are in a “target rich” environment.  Just about anywhere in Night City, Megatropolis, or New Denver, they should be able to find a camera, drone, IOT device or appliance to hack.</t>
  </si>
  <si>
    <t>Rigger</t>
  </si>
  <si>
    <t>class-rigger</t>
  </si>
  <si>
    <t>rigger</t>
  </si>
  <si>
    <t>The Rigger is the Maker, the Tinkerer, the Engineer—the soul who sees the world not as it is, but as it could be with the right parts and enough time on the bench. Every Rigger has a workshop somewhere: for some, it’s a pristine cathedral of tools and precision, where every wrench gleams under fluorescent light and nothing is ever out of place. For others, it’s organized chaos—wires draped like ivy, half-built drones humming in the dark, and a workbench only they can navigate.Every Rigger starts by asking one question: what kind of builder are you? And what does your workshop say about you?Most Riggers keep a “day job” that funds their obsession—a cover story that keeps the corporate auditors from asking why so many unregistered servos, capacitors, and prototype AIs keep showing up on their expense reports. Maybe you’re a licensed mechanic, maybe a tech salvager, maybe you just “repair” things that don’t technically belong to you.At the heart of every Rigger’s identity is their Primary Drone—their masterpiece, companion, and canvas. It’s never finished. It grows, evolves, and mutates with each new breakthrough or bad idea. Some are elegant—chrome-winged and graceful as birds. Others are ugly, heavy, loud, and perfect.What does your drone look like? What purpose—or personality—did you design into it? And when the fight starts, who’s really piloting who?</t>
  </si>
  <si>
    <t>Reboot</t>
  </si>
  <si>
    <t>reboot</t>
  </si>
  <si>
    <t>Spend 3 Hope to restore a failed digital device (cybernetic, drone,</t>
  </si>
  <si>
    <t>Hacking Insight</t>
  </si>
  <si>
    <t>hacking-insight</t>
  </si>
  <si>
    <t>Spend 3 Hope to convert a Hacking failure into a Hacking success on one Infiltrate or Control roll.</t>
  </si>
  <si>
    <t>Interference</t>
  </si>
  <si>
    <t>interference</t>
  </si>
  <si>
    <t>Spend 3 Hope to disrupt electronics within Close.  Set a d4 to a value of 1 and increment each time you chose to have one of the following effects:o</t>
  </si>
  <si>
    <t>Digital Awareness</t>
  </si>
  <si>
    <t>digital-awareness</t>
  </si>
  <si>
    <t>You can take an Action to become aware of any digital signal within Very Close.  Spend 1 Hope to extend the range to within Close.  Mark 1 Stress to extend the range to within Far.  This alerts you to the devices’ presence, type, and whether they are hardened or unharden-</t>
  </si>
  <si>
    <t>Quick hack</t>
  </si>
  <si>
    <t>quick-hack</t>
  </si>
  <si>
    <t>Gain Control of 1 unhardened device.  Mark 1 Stress to make an Infiltration or a Control roll at +2.</t>
  </si>
  <si>
    <t xml:space="preserve">Ghost in the machine </t>
  </si>
  <si>
    <t>subclass-ghost-in-the-machine</t>
  </si>
  <si>
    <t>ghost-in-the-machine-</t>
  </si>
  <si>
    <t>You don’t fight the system — you become it.You are a master of the elegant hack — graceful, invisible, and devastating. Like a digital Aikido master, you don’t force your way in; you let the system defeat itself. By the time a firewall realizes you were there, its secrets are already screaming across the Matrix. Somewhere, another corporate IT director refreshes a dashboard and watches their career dissolve in real time.But you know the truth: not all hacks are digital. The front desk clerk, the security guard, the middle manager with a weak password and a weaker ego — they’re just as exploitable as code. You slip through people the same way you slip through systems: softly, politely, with a smile sharp enough to cut steel.You don’t just crack systems. You rewrite them. Whether it’s a server, a person, or an entire corporation, when you leave, nothing operates quite the way it did before.</t>
  </si>
  <si>
    <t>I’ve seen this model before</t>
  </si>
  <si>
    <t>i’ve-seen-this-model-before</t>
  </si>
  <si>
    <t>Spend 1 Hope to give +2 on your next Infiltration roll.  On a result of:o	Succeed with Hope - You gain access to the Infiltration actions only and you leave a backdoor such that this device is at -2 Difficulty until your next rest (short or long) for all rolls, Infiltrate or Control.o	Succeed with Fear – You gain access to the Infiltration actions only.o	Fail with Hope – No access granted, but no increate in the System Alert levelo	Fail with Fear – No access granted, Increate the System Alert by 1.</t>
  </si>
  <si>
    <t>Don't worry, that was just a glitch</t>
  </si>
  <si>
    <t>don't-worry,-that-was-just-a-glitch</t>
  </si>
  <si>
    <t xml:space="preserve">Reduce the System Alert level by 1 or the System counter by 2.  </t>
  </si>
  <si>
    <t>Now you see me, now you don’t</t>
  </si>
  <si>
    <t>now-you-see-me,-now-you-don’t</t>
  </si>
  <si>
    <t>If you fail on an Infiltration roll, Mark 1 Stress to cause the ICE to react as if you had not made the Infiltration roll at all.</t>
  </si>
  <si>
    <t>Become one with the Matrix</t>
  </si>
  <si>
    <t>become-one-with-the-matrix</t>
  </si>
  <si>
    <t>You delve so deeply, that you can almost see the System as a whole from the inside.  Start a counter at your Tier level (which by the time you are at Mastery, will be a d8 or d10).  While that counter is in effect:o	+6 on all Analyze rollso	+4 on all Infiltration rollso	+2 on all Control rollso	+d4 on all damage effectso	Cybernetic devices can be targeted as if they were regular devices.</t>
  </si>
  <si>
    <t>Wrecking ball (aka the Lord of Chaos)</t>
  </si>
  <si>
    <t>subclass-wrecking-ball</t>
  </si>
  <si>
    <t>wrecking-ball-(aka-the-lord-of-chaos)</t>
  </si>
  <si>
    <t>Subtlety is for firewalls that haven’t met you yet.You don’t slip in quietly — you announce your arrival with a digital detonation and a smile. You love the sound of collapsing servers, the flicker of dying security feeds, the panic in a sysadmin’s voice when their screen goes black. Some Netrunners whisper through the grid like ghosts; you come through like a riot.You want them to know who hit them — to feel the tremor of your signature tearing through their systems, to understand that resistance was never an option. You want the enemy to know that you have them by the short hairs and you love to look them deeply and lovingly in the eyes while you pull!  To you, hacking isn’t theft — it’s performance art. Get in fast, break everything worth breaking, grab the payload, and vanish before the smoke clears. The infiltrators can have their subtlety. You’re here to make legends — and sometimes, enemies.</t>
  </si>
  <si>
    <t>Kick open the front door</t>
  </si>
  <si>
    <t>kick-open-the-front-door</t>
  </si>
  <si>
    <t>Spend 1 Hope to gain +4 on your first Control roll against a device if and only if you have not made an Analysis check on it.  On a result of:o	Succeed with Hope -  gain Control (access to all actions) and don’t raise the System alert level.o	Succeed with Fear – gain Control (access to all actions) and raise the System alert level 1 step.o	Fail with Hope or Fear – don’t gain ontrol and raise the System alert level 2 steps.</t>
  </si>
  <si>
    <t>Boom baby</t>
  </si>
  <si>
    <t>boom-baby</t>
  </si>
  <si>
    <t>Detonate any Device you Control within Very Far.  All targets within Very Close of the targeted Device take d8+2 damage.</t>
  </si>
  <si>
    <t>Coming through</t>
  </si>
  <si>
    <t>coming-through</t>
  </si>
  <si>
    <t>in one Action, Mark 1 Stress per ICE on a Device you are attempting to Control.  Make a Hacking roll against each ICE at +2.  Any ICE you succeed against are removed from the Device.  Raise the System Alert by 1 for each ICE you fail against.  You cannot stop rolling until all the ICE have been rolled against.</t>
  </si>
  <si>
    <t>Digital wasteland</t>
  </si>
  <si>
    <t>digital-wasteland</t>
  </si>
  <si>
    <t xml:space="preserve">You are on fire and a little out of control.  Start a counter at your Tier level (which by the time you are at Mastery, will be a d8 or d10).  While that counter is in effect:o	+6 on all Control rollso	You cannot make Analyze or Infiltration rollso	+d6 on all damage effects	</t>
  </si>
  <si>
    <t>Power Up</t>
  </si>
  <si>
    <t>power-up</t>
  </si>
  <si>
    <t>Spend 3 Hope when your Primary Drone succeeds on an Attack to have your Primary Drone attack two additional adversaries within Far.</t>
  </si>
  <si>
    <t>Driving expert</t>
  </si>
  <si>
    <t>driving-expert</t>
  </si>
  <si>
    <t xml:space="preserve">All Driving checks are +1.  </t>
  </si>
  <si>
    <t>Primary Drone</t>
  </si>
  <si>
    <t>primary-drone</t>
  </si>
  <si>
    <t>The Primary Drone is quite similar to the Ranger Companion, but with a few differences.  Take the Decker Primary Drone sheet and fill it out</t>
  </si>
  <si>
    <t>The right drone for the job</t>
  </si>
  <si>
    <t>the-right-drone-for-the-job</t>
  </si>
  <si>
    <t>Once per long rest, change 1 mod on your Primary Drone</t>
  </si>
  <si>
    <t>Drone control</t>
  </si>
  <si>
    <t>Mark 1 Stress to target 1 drone within Far and make a Knowledge check against the drone’s Difficulty.   On success, you may immediately use that drone to perform an Action.  The drone remains under your control until the GM Spends 1 Fear.</t>
  </si>
  <si>
    <t xml:space="preserve">Jack of all trades </t>
  </si>
  <si>
    <t>subclass-jack-of-all-trades</t>
  </si>
  <si>
    <t>jack-of-all-trades-</t>
  </si>
  <si>
    <t>If it’s got wires, gears, or bad firmware — you can fix it, improve it, or weaponize it.You build because you have to. The world is one big broken machine, and someone’s got to keep it running — preferably better than before. You’re a tinkerer, a mechanic, an engineer, a hobbyist with a soldering iron and a god complex. There’s no problem you can’t solve with the right parts, a questionable power source, and a little creative coding.Your workshop is your temple: a cluttered shrine to invention where burnt circuit boards are relics and every half-finished drone hums with potential. You take things apart because understanding how they shouldn’t work is the first step to making them better.Corporations lock down their tech with governors, safeties, and surveillance firmware — but you’ve made a career out of unlocking what’s not meant to be touched. You’ve got the patience of a saint, the curiosity of a child, and the attention span of a caffeinated raccoon.You don’t specialize. You improvise. And if it breaks again? Even better — that’s just another chance to make it stronger.</t>
  </si>
  <si>
    <t>Primary Drone upgrade</t>
  </si>
  <si>
    <t>primary-drone-upgrade</t>
  </si>
  <si>
    <t>choose an additional upgrade for your Primary Drone</t>
  </si>
  <si>
    <t>Battle-bonded</t>
  </si>
  <si>
    <t>battle-bonded</t>
  </si>
  <si>
    <t>when you and your Primary Drone are within Very Close, Spend 1 Hope to give you both +2 Evasion for 1 adversary’s attack</t>
  </si>
  <si>
    <t>Joined at the hip</t>
  </si>
  <si>
    <t>joined-at-the-hip</t>
  </si>
  <si>
    <t>One per long rest if you and your Primary Drone are within Close of each other, when damage from an attack would Mark either of your last Hit Point, you or your Primary Drone can move to the other’s side and Mark the Hit Point instead.</t>
  </si>
  <si>
    <t>Speed racer</t>
  </si>
  <si>
    <t>subclass-speed-racer</t>
  </si>
  <si>
    <t>speed-racer</t>
  </si>
  <si>
    <t>You don’t chase speed — you are speed.You were born in motion — one hand on the wheel, the other on the stick-shift, chasing the horizon long before you could spell your own name. Speed isn’t just something you crave; it’s the only language your pulse understands.Whether it’s a ground car screaming through rain-slick megacity streets or a drone streaking between skyscrapers, you build machines that move. Fast. Faster than physics says they should. You tune engines by instinct, shape airflow with intuition, and measure time in milliseconds.You’ve never met a governor you didn’t bypass or a safety limit you didn’t test to destruction. Some call it obsession, others call it madness — you just call it Tuesday.For you, control is freedom, and motion is life. Every race, every chase, every high-G turn is a moment of pure clarity. The world blurs, the noise fades, and there’s only you, the machine, and the perfect line ahead.</t>
  </si>
  <si>
    <t>Fast car</t>
  </si>
  <si>
    <t>fast-car</t>
  </si>
  <si>
    <t>You start with a car that grants you +1 on all Driving checks (when you are driving that car)</t>
  </si>
  <si>
    <t>Inspired Driving</t>
  </si>
  <si>
    <t>inspired-driving</t>
  </si>
  <si>
    <t>Spend 3 Hope to convert a Driving failure into a Driving success.</t>
  </si>
  <si>
    <t>Need for speed</t>
  </si>
  <si>
    <t>need-for-speed</t>
  </si>
  <si>
    <t>Spend 3 Hope to make 2 Drive checks whenever you are Spotlighted during a Chase.</t>
  </si>
  <si>
    <t>I’ve driven this before</t>
  </si>
  <si>
    <t>i’ve-driven-this-before</t>
  </si>
  <si>
    <t>+2 on any Driving check, regardless of what you are driving.</t>
  </si>
  <si>
    <t>Expert maneuver</t>
  </si>
  <si>
    <t>expert-maneuver</t>
  </si>
  <si>
    <t>Spend 3 Hope to negate any Driving Environment Event.</t>
  </si>
  <si>
    <t>Street Samuri</t>
  </si>
  <si>
    <t>class-street-samuri</t>
  </si>
  <si>
    <t>street-samuri</t>
  </si>
  <si>
    <t>Steel is honest. Flesh lies.You walk the line between the old world’s honor and the new world’s circuitry.Some call you a mercenary, some a relic — they’re both right. You move through the sprawl like a storm wrapped in human skin: clean, efficient, and devastatingly precise. The Street Samurai doesn’t talk about strength; they demonstrate it.Your body is a weapon — sculpted, reforged, upgraded, and tuned past the edge of human tolerance. Every scar is a story, every implant a lesson bought in blood and chrome. You’ve seen what happens when code and conscience mix: it’s not pretty. That’s why you live by your own code — maybe ancient, maybe self-written, but always yours.Corporations build armies; gangs build legends. You build reputation. You fight because someone has to — and because deep down, you still believe that mastery of the blade, the gun, or the body means something in a world that’s sold its soul to machines.Some Street Samurai operate like ghosts, silent and unseen until the moment of violence. Others are thunder — explosive, unstoppable, and poetic in destruction. Neither path is wrong. Both are beautiful.What weapon have you made an extension of yourself? What line will you never cross — and what happens when someone makes you?</t>
  </si>
  <si>
    <t>Focused aggression</t>
  </si>
  <si>
    <t>focused-aggression</t>
  </si>
  <si>
    <t>Spend 3 Hope to gain +2 to either all attacks made by Melee weapons or all attacks made by guns until the end of the Scene.</t>
  </si>
  <si>
    <t>Quick reflexes</t>
  </si>
  <si>
    <t>quick-reflexes</t>
  </si>
  <si>
    <t>As a Reaction, when you are about to be attacked at Melee range and are wielding a Melee weapon, Mark 1 Stress to make an Attack on the would-be attacker first.</t>
  </si>
  <si>
    <t>Dual wielding</t>
  </si>
  <si>
    <t>dual-wielding</t>
  </si>
  <si>
    <t xml:space="preserve">If you are wielding a Melee weapon and gun (both of which must be one-handed), Spend 2 Hope to make an attack with each against different targets. = </t>
  </si>
  <si>
    <t>subclass-bodyguard</t>
  </si>
  <si>
    <t>Your loyalty is your weapon, and your silence is its sheath.You are the wall between your client and the world’s chaos — the first to see danger, and the last thing it ever sees. Whether you stand like a fortress in plain sight or move unseen like a whisper of steel, your purpose is singular: protection.You don’t protect because you’re paid to. You protect because it gives you meaning. The world has too many killers and not enough shields, and someone has to draw the line. Maybe you guard corporate executives, syndicate heirs, or idealistic runners too valuable to lose — it doesn’t matter. Once they’re under your care, you’re their shadow, their shield, their retribution.Every plan you make, every upgrade you install, every strike you deliver — it’s all in service of one truth: you are the difference between a job gone bad and a life saved.When the bullets start flying, you don’t dive for cover — you are the cover.</t>
  </si>
  <si>
    <t>Protection assignment</t>
  </si>
  <si>
    <t>protection-assignment</t>
  </si>
  <si>
    <t>At the beginning of a Scene, designate 1 ally as your Primary Focus.  If they are within Very Close of you, they get +2 Evasion.  Mark 1 Stress to change which ally is your focus.</t>
  </si>
  <si>
    <t>Situational awareness</t>
  </si>
  <si>
    <t>Spend 1 Hope and make an Instinct roll (13).  On a success, you are immediately aware if there are any creatures with the Hidden condition within Far (but you don’t know exactly where they are).</t>
  </si>
  <si>
    <t>Get behind me</t>
  </si>
  <si>
    <t>get-behind-me</t>
  </si>
  <si>
    <t>As a Reaction, when an adversary makes a successful attack on an ally within Close, move immediately to position your token within Melee of your ally and between the adversary and the ally (moving one of them if necessary).  The attack is now successful on you instead of your ally.</t>
  </si>
  <si>
    <t>Two foci</t>
  </si>
  <si>
    <t>two-foci</t>
  </si>
  <si>
    <t>you are able to have 2 allies as your Primary Foci for your Protection assignment feature.</t>
  </si>
  <si>
    <t>Sphere of control</t>
  </si>
  <si>
    <t>sphere-of-control</t>
  </si>
  <si>
    <t>When you attack, you can attack any adversary within Melee of all allies within Very Close of you.</t>
  </si>
  <si>
    <t>Calm in the storm</t>
  </si>
  <si>
    <t>calm-in-the-storm</t>
  </si>
  <si>
    <t>All allies within Close of you can Spend 1 Hope as a Reaction to grant themselves +2 Evasion.</t>
  </si>
  <si>
    <t>Mercenary</t>
  </si>
  <si>
    <t>subclass-mercenary</t>
  </si>
  <si>
    <t>mercenary</t>
  </si>
  <si>
    <t>You don’t fight for free—but you always fight for something.You are the weapon that other weapons dream of becoming. You’ve mastered every trigger, every blade, every angle of lethality that the modern world can manufacture. Guns, swords, drones, fists — it doesn’t matter. In your hands, everything becomes a tool of precision and inevitability.You didn’t choose this life; you refined it. Maybe you came from the military, the corps’ private armies, or one of the syndicates where “promotion” is measured in blood. Maybe you just learned early that violence pays better than honesty. Either way, you’re a professional now — calm under fire, fluent in fear.You don’t kill for fun. You kill for order. For balance. For the code you’ve written into your bones — the rules that keep you from becoming the monsters you hunt for a paycheck.Every job starts with three questions: Who’s paying? What’s the risk? And can you still look in the mirror afterward?</t>
  </si>
  <si>
    <t>Gun trainer</t>
  </si>
  <si>
    <t>As a downtime action you train each of your allies to better use their guns.  Give each ally a &lt;b&gt;Bullet die&lt;/b&gt; appropriate to your Tier (Tier 1: d4, Tier 2: d6, Tier 3: d8, Tier 4:d10).  They may roll this &lt;b&gt;Bullet die&lt;/b&gt; whenever they make an attack with a gun and add the result to their attack roll.</t>
  </si>
  <si>
    <t>Resolve</t>
  </si>
  <si>
    <t>resolve</t>
  </si>
  <si>
    <t>You gain a pool of dice called Bullet die.  Whenever you fail an attack roll with Fear, add a d6 to your Bullet die pool.  You can store a number of Bullet die equal to your proficiency.  When you make an attack roll or damage roll, you can spend any number of these Bullet Dice, rolling them and adding their result to the total. At the start of each session, clear any unspent Bullet Dice and gain 1 Hope per die cleared.</t>
  </si>
  <si>
    <t>You’re in my sights</t>
  </si>
  <si>
    <t>you’re-in-my-sights</t>
  </si>
  <si>
    <t>Spend 1 Hope to make an adversary within Very Close your Primary Focus.  If that adversary attempts to leave Very Close range, you may move with them automatically on their Action. +2 to all your attacks and damage against that Primary Focus</t>
  </si>
  <si>
    <t>whirlwind</t>
  </si>
  <si>
    <t>Once per Scene, If you are wielding a Melee weapon and gun (both of which must be one-handed), Spend 4 Hope to make 2 attacks with each against different targets (4 targets total – if there are not enough targets, you cannot use this ability).</t>
  </si>
  <si>
    <t>Heavy Ordinance</t>
  </si>
  <si>
    <t>heavy-ordinance</t>
  </si>
  <si>
    <t>You are able to use any type of weaponry including heavy military ordinance that no other PC can normally use.</t>
  </si>
  <si>
    <t>system.type</t>
  </si>
  <si>
    <t>main_desc</t>
  </si>
  <si>
    <t>action.name</t>
  </si>
  <si>
    <t>root_img</t>
  </si>
  <si>
    <t>action.description</t>
  </si>
  <si>
    <t>action.kind</t>
  </si>
  <si>
    <t>action.actionType</t>
  </si>
  <si>
    <t>Lethal Combo</t>
  </si>
  <si>
    <t>Mark 1 Stress for you and your Primary Drone both to take an action during a Spotlight</t>
  </si>
  <si>
    <t>lethal-combo</t>
  </si>
  <si>
    <t>Neural Sync</t>
  </si>
  <si>
    <t>&lt;p class="Card-Feature"&gt;If you take at least 1 minute to study a device before attempting to hack it, gain advantage on your next Spellcasting (Hacking) roll against that system this scene.</t>
  </si>
  <si>
    <t>&lt;p class="Card-Feature"&gt;Once per Scene, when you trigger an ICE countermeasure or trace feature, you can &lt;strong&gt;Mark 1 Stress&lt;/strong&gt; to use your Reaction against the Device difficulty to avoid the effect, or &lt;strong&gt;Mark 2 Stress&lt;/strong&gt; to avoid it without a roll.</t>
  </si>
  <si>
    <t>&lt;p class="Card-Feature"&gt;Once per Long Rest, put tokens on this card equal to your Spellcasting (Hacking) to gain one of the following effect: +1 on next Hack action, +1 on Evasion as a Reaction, Gain 1 Hope, Clear 1 Stress</t>
  </si>
  <si>
    <t>&lt;p class="Card-Feature"&gt;Once per Scene, you can reroute local energy or data flow. Choose one ally within Close range; they gain +1 to their next roll that involves technology or reflexes.</t>
  </si>
  <si>
    <t>&lt;p class="Card-Feature"&gt;&lt;strong&gt;Spend 1 Hope&lt;/strong&gt; to use your Reaction to make a Device you have Infiltrated or Controlled successfully generate a distration.  The creature must spend 1 Fear to take their next Action and they have disadvantage if they attack with their next action.</t>
  </si>
  <si>
    <t>&lt;p class="Card-Feature"&gt;Target 1 weapon within Far, &lt;strong&gt;Spend 1 Hope&lt;/strong&gt; and make a Spellcasting check (12).  On a success, any non-primative weapon malfunctions and requires an action to clear it, and thereafter has a -1 for any Action using it.</t>
  </si>
  <si>
    <t>&lt;p class="Card-Feature"&gt;&lt;strong&gt;Spend 1 Hope&lt;/strong&gt; to emit an electromagnetic haze that blurs surveillance and scanners. For one Scene, creatures roll with Disadvantage to detect you or your team.</t>
  </si>
  <si>
    <t>&lt;p class="Card-Feature"&gt;Make a Spellcasting roll (15) to make a device you Control explode causing all Adversaries within Very Close of the Device to take 2d6 damage, and all within Close take 1d6</t>
  </si>
  <si>
    <t>&lt;p class="Card-Feature"&gt;&lt;strong&gt;Spend 2 Hope&lt;/strong&gt; to know something about an creature.  As the GM up to 3 yes/no questions.</t>
  </si>
  <si>
    <t>&lt;p class="Card-Feature"&gt;Mark Stress (up to your Proficiency) to lower the System Alert one level per Stress marked.</t>
  </si>
  <si>
    <t>&lt;p class="Card-Feature"&gt;&lt;strong&gt;Spend 1 Hope&lt;/strong&gt; to instantly share sensory data with one ally within Far range. You both gain +1 to rolls using shared perception for one Scene.</t>
  </si>
  <si>
    <t>&lt;p class="Card-Feature"&gt;At the beginning of the session, place a number of tokens on this card equal to your Spellcasting Trait.  Make a Spellcasting roll and target any creature you can see or detect within Very Far; on a success, send them a transmission (e.g. "they ran down the hall!").  They will believe the information and act accordingly ... usually</t>
  </si>
  <si>
    <t>&lt;p class="Card-Feature"&gt;Before entering an Environment, make a Spellcasting (Hacking) roll (13), to gain information about the security stance of the target (what Tier levels of ICE are used, how many levels to the security, what System Alert responses are possible, etc.).  On a failure, all Devices in the Enviroment have a Difficulty +1.</t>
  </si>
  <si>
    <t>&lt;p class="Card-Feature"&gt;Your Digital Awareness can now detect cybernetics within individuals up to your Tier level.  You can &lt;strong&gt;Spend 1 Hope&lt;/strong&gt; to make a Spellcasting roll against a cybernetically enhanced individual within Far.  On a success, place a number of tokens on thie card equal to your Spellcasting Abiliity level.  Take an Action to apply one of the following effects: 1) Visual hallucinations, 2) Audio hallucinations, 3) &lt;strong&gt;Mark 1 Stress&lt;/strong&gt; to give them disadvantage on their next Action, 4) -4 Evasion until they take an Action to remove the effect.</t>
  </si>
  <si>
    <t>&lt;p class="Card-Feature"&gt;Once per Scene, you may reroll one failed Agility, Spellcasting or Finesse roll as your implants auto-correct your motion.</t>
  </si>
  <si>
    <t>&lt;p class="Card-Feature"&gt;&lt;strong&gt;Spend 1 Hope&lt;/strong&gt; to temporarily erase your digital and heat signatures. Until the end of the Scene, you cannot be tracked by sensors or cameras, and Devices or creatures targeting you have a -2 to hit.</t>
  </si>
  <si>
    <t>&lt;p class="Card-Feature"&gt;When 4 or more domain cards in your loadout  are from Circuit, gain the following effects: +1 to your Spellcasting (Hacking) rolls, once per rest you can switch the result of your Hope and Fear dice</t>
  </si>
  <si>
    <t>&lt;p class="Card-Feature"&gt;Your Digital Awareness can now detect cybernetics within individuals.  &lt;strong&gt;Spend 2 Hope&lt;/strong&gt; and make a Spellcasting roll against their Difficulty, to do d10+3 damage</t>
  </si>
  <si>
    <t>&lt;p class="Card-Feature"&gt;&lt;strong&gt;Spend 1 Hope&lt;/strong&gt; to temporarily stabilize or rewrite corrupted digital space. Remove one ongoing Environment Digital effect.</t>
  </si>
  <si>
    <t>&lt;p class="Card-Feature"&gt;Spend up to 5 Hope to make up something about a character or adversary and (GM descretion) it becomes true.  The more Hope spent, the more outlanding the thing made up can be.</t>
  </si>
  <si>
    <t>&lt;p class="Card-Feature"&gt;Hit a target around a 45° corner with disadvantage.</t>
  </si>
  <si>
    <t xml:space="preserve">&lt;p class="Card-Feature"&gt;Once per Scene, as a Reaction, &lt;strong&gt;Spend 1 Hope&lt;/strong&gt; when the GM spotlights an opponent to make a single ranged attack. </t>
  </si>
  <si>
    <t>&lt;p class="Card-Feature"&gt;Swap ammunition types without spending an action.</t>
  </si>
  <si>
    <t>&lt;p class="Card-Feature"&gt;Gain +1 mod slot for each firearm you own.</t>
  </si>
  <si>
    <t>&lt;p class="Card-Feature"&gt;As a downtime action you train each of your allies to better use their guns.  Give each ally a &lt;b&gt;Bullet die&lt;/b&gt; appropriate to your Tier (Tier 1: d4, Tier 2: d6, Tier 3: d8, Tier 4:d10).  They may use this &lt;b&gt;Bullet die&lt;/b&gt; in the same way as your Class or Subclass</t>
  </si>
  <si>
    <t>&lt;p class="Card-Feature"&gt;After a successful attack on a target, &lt;strong&gt;Spend 1 Hope&lt;/strong&gt; to apply the damage to a second target within Very Close range.</t>
  </si>
  <si>
    <t>&lt;p class="Card-Feature"&gt;Once per rest, &lt;strong&gt;Mark 1 Stress&lt;/strong&gt; to make an Attack targeting a specific limb, device mod, weapon, etc. on a creature at -2 on the Attack roll.  On a successful attack roll, disable a targeted component for the Scene</t>
  </si>
  <si>
    <t>&lt;p class="Card-Feature"&gt;Identify the weapon type and potential weaknesses or modifications of one visible gun within Far</t>
  </si>
  <si>
    <t>&lt;p class="Card-Feature"&gt;Each time you make an Attack with a gun, you may attack 2 different targets within Close of eachother.  Each shot is at -2</t>
  </si>
  <si>
    <t>&lt;p class="Card-Feature"&gt;Spotlight an Action to put a token on this card.  Spotlight an Action to discard tokens for a specific effect depending on the number of tokens discard: &lt;p&gt; 1: Attack at Advantage &lt;p&gt; 2: Make 3 Attacks, each at +2 &lt;p&gt; 3: Automatically hit and d10+3 additional damage &lt;p&gt; Describe the cinematic effect of your shot. GM discretion</t>
  </si>
  <si>
    <t>&lt;p class="Card-Feature"&gt;Make an Attack at Melee range with your gun at +2, then move to Close</t>
  </si>
  <si>
    <t>&lt;p class="Card-Feature"&gt;&lt;strong&gt;Spend 1 Hope&lt;/strong&gt; to attack with advantage and deal +d4 damage.</t>
  </si>
  <si>
    <t>&lt;p class="Card-Feature"&gt;&lt;strong&gt;Mark 2 Stress&lt;/strong&gt; spend at least 1 minute to create a d6 melee weapon.</t>
  </si>
  <si>
    <t>&lt;p class="Card-Feature"&gt;With a visible gun, make Presence rolls at  +d4.  Once per Scene, &lt;strong&gt;Spend 1 Hope&lt;/strong&gt; to re-roll a Presence roll.</t>
  </si>
  <si>
    <t>&lt;p class="Card-Feature"&gt;If you have a scope mod on your gun, &lt;strong&gt;Spend 1 Hope&lt;/strong&gt; to gain +2 to attack (in addition to the +1 bonus provided by the scope).</t>
  </si>
  <si>
    <t>&lt;p class="Card-Feature"&gt;&lt;strong&gt;Mark 2 Stress&lt;/strong&gt; and target one creature; all creatures within Very Close of it take -2 to actions and evasion.</t>
  </si>
  <si>
    <t>&lt;p class="Card-Feature"&gt;Once per Scene, &lt;strong&gt;Mark 1 Stress&lt;/strong&gt; and grab a creature of your size or smaller within Very Close. Gain +2 Evasion until next your next Action.</t>
  </si>
  <si>
    <t>&lt;p class="Card-Feature"&gt;You have a contact for weapons. Weapon items cost less (GM discretion). Once per session, ask your Fixer information on any topic.</t>
  </si>
  <si>
    <t xml:space="preserve">&lt;p class="Card-Feature"&gt;&lt;strong&gt;Spend 1 Hope&lt;/strong&gt; to Attack at -2 a target with the Hidden condition by virtue of being behind cover.  </t>
  </si>
  <si>
    <t>&lt;p class="Card-Feature"&gt;&lt;strong&gt;Spend 1 Hope&lt;/strong&gt;; make a Perception check at +3 to detect all armed entities within Far.</t>
  </si>
  <si>
    <t xml:space="preserve">&lt;p class="Card-Feature"&gt;Once per Scene, &lt;strong&gt;Spend 1 Hope&lt;/strong&gt; to launch a tiny &lt;b&gt;Stealth Drone&lt;/b&gt; within Very Far.  The drone provide audio within Very Close and visual signal.  When you take an Action, you can reposition the drone anywhere within Very Far.  creatures within Very Close can take an action to make an &lt;b&gt;Instinct&lt;/b&gt; roll (Difficulty 15) to detect the drone, and if detected destroy the drone.   </t>
  </si>
  <si>
    <t>&lt;p class="Card-Feature"&gt;Once per rest, &lt;strong&gt;Mark 1 Stress&lt;/strong&gt; to restore 2 HP to your &lt;b&gt;Primary Drone&lt;/b&gt;.</t>
  </si>
  <si>
    <t>&lt;p class="Card-Feature"&gt;As an Action, &lt;strong&gt;Spend 1 Hope&lt;/strong&gt; for your &lt;b&gt;Primary Drone&lt;/b&gt; to attack at +2.</t>
  </si>
  <si>
    <t>&lt;p class="Card-Feature"&gt;As a Reaction, &lt;strong&gt;Mark 1 Stress&lt;/strong&gt; to give your &lt;b&gt;Primary Drone&lt;/b&gt; +2 Evasion for one attack before results are determined.</t>
  </si>
  <si>
    <t>&lt;p class="Card-Feature"&gt;Once per long rest, &lt;strong&gt;Spend 2 Hope&lt;/strong&gt; to add a temporary extra mod to your &lt;b&gt;Primary Drone&lt;/b&gt; for the current scene.  At the end of the Scene, remove 1 mod.</t>
  </si>
  <si>
    <t>&lt;p class="Card-Feature"&gt;Once per long rest, place tokens on this card equal to your proficiency level.  As a Reaction, spend 1 token to have one of the following effects to 1 target creatures &lt;ol&gt;&lt;li&gt;Harass. (-1 all rolls), &lt;li&gt;Suppress (-1 evasion), &lt;li&gt;Assist (+1 evasion)&lt;/ol&gt;. Discard all remaining tokens at the end of the Scene.</t>
  </si>
  <si>
    <t>&lt;p class="Card-Feature"&gt;During downtime, &lt;strong&gt;Spend 1 Hope&lt;/strong&gt; to repair up to 3 armor slots for yourself or an ally.</t>
  </si>
  <si>
    <t>&lt;p class="Card-Feature"&gt;You own a vehicle large enough for your team - describe the vehicle on your character sheet. While driving this vehicle, gain +2 to Driving checks. On a critical roll, you may perform a cinematic driving maneuver with your vehicle (GM discretion), and adjust your Chase Die by and additional -1 to +1</t>
  </si>
  <si>
    <t>&lt;p class="Card-Feature"&gt;One per long rest, you launch and control drones that provide tactical overwatch. Spotlight an Action to shift the drones between Offensive mode and Defensive mode: &lt;p&gt;&lt;b&gt;Defensive mode&lt;/b&gt;: You have +2 Evasion and all allies have +1 Evasion&lt;/p&gt;&lt;b&gt;Offensive mode&lt;/b&gt;: You have +2 to your attacks and all allies have +1 to their attacks</t>
  </si>
  <si>
    <t>&lt;p class="Card-Feature"&gt;&lt;strong&gt;Mark 2 Stress&lt;/strong&gt; to plant a tracker on a creature or device within Very Close. Roll Finesse vs target’s difficulty to avoid detection.</t>
  </si>
  <si>
    <t>&lt;p class="Card-Feature"&gt;Once per rest, &lt;strong&gt;Spend 1 Hope&lt;/strong&gt; before a Group Action to grant +2 to the roll.</t>
  </si>
  <si>
    <t>&lt;p class="Card-Feature"&gt;Once per Scene, &lt;strong&gt;Mark 1 Stress&lt;/strong&gt; to replace one module on your &lt;b&gt;Primary Drone&lt;/b&gt; instantly.</t>
  </si>
  <si>
    <t>&lt;p class="Card-Feature"&gt;Once per rest, &lt;strong&gt;Mark 2 Stress&lt;/strong&gt; to create a device you need. Describe construction and function (GM discretion).</t>
  </si>
  <si>
    <t>&lt;p class="Card-Feature"&gt;&lt;strong&gt;Spend 1 Hope&lt;/strong&gt; after 10 minutes of inspection to ask the GM 3 yes/no questions about the device.</t>
  </si>
  <si>
    <t>&lt;p class="Card-Feature"&gt;All Driving checks are +2.  Each time you are Spotlighted while Driving, you may also take an Attack Action.</t>
  </si>
  <si>
    <t>&lt;p class="Card-Feature"&gt;You have a contact for materials. Non-weapon items cost less (GM discretion). Once per session, ask your Fixer information on any topic.</t>
  </si>
  <si>
    <t>&lt;p class="Card-Feature"&gt;Your &lt;b&gt;Primary Drone&lt;/b&gt; gains flight, +4 Evasion, and may carry 3 weapons.</t>
  </si>
  <si>
    <t>&lt;p class="Card-Feature"&gt;You may add one Domain card from Circuit, Codex, or Bullet to your loadout of Level 4 or less.</t>
  </si>
  <si>
    <t>&lt;p class="Card-Feature"&gt;Your weapons and &lt;b&gt;Primary Drone&lt;/b&gt; cannot malfunction except through magical effects.</t>
  </si>
  <si>
    <t xml:space="preserve">&lt;p class="Card-Feature"&gt;You own a large, heavily equipped vehicle large enough for your team plus 4 extra creatures - describe the vehicle on your character sheet. While driving this vehicle, gain +4 to Driving checks. On a critical success of a Driving roll, you may perform a cinematic driving maneuver with your vehicle (GM discretion).  </t>
  </si>
  <si>
    <t>&lt;p class="Card-Feature"&gt;With one day of prep, you can construct nearly any practical device needed (GM discretion).</t>
  </si>
  <si>
    <t>&lt;p class="Card-Feature"&gt;Once per session, &lt;strong&gt;Spend 2 Hope&lt;/strong&gt; to ask the GM 3 yes/no questions about a material, structure, or device.</t>
  </si>
  <si>
    <t>&lt;p class="Card-Feature"&gt;While active, your &lt;b&gt;Primary Drone&lt;/b&gt; can carry you and one ally. While equipped, it may only carry one weapon and has -2 Evasion.</t>
  </si>
  <si>
    <t>action.cost</t>
  </si>
  <si>
    <t>stress:1</t>
  </si>
  <si>
    <t>stress:2</t>
  </si>
  <si>
    <t>stress:4</t>
  </si>
  <si>
    <t>hope:1</t>
  </si>
  <si>
    <t>hope:2</t>
  </si>
  <si>
    <t>&lt;p class="Card-Feature"&gt;&lt;strong&gt;Spend 1 Hope&lt;/strong&gt;to escalate your access level on a Device you are Hacking from Infiltration to Control.</t>
  </si>
  <si>
    <t>&lt;p class="Card-Feature"&gt;Once per rest, target any mechanical Adversaries (Drones, robots, etc.) within Far and make a Spellcasting roll against the Adversaries's Difficulty.  On a success, the target loses its next round and takes d8+2 damage</t>
  </si>
  <si>
    <t>&lt;p class="Card-Feature"&gt;Once per long rest, add a new Digital Feature to a Device that it didn't originally have (GM's discretion)</t>
  </si>
  <si>
    <t>&lt;p class="Card-Feature"&gt;As a Reaction, &lt;strong&gt;Spend 1 Hope&lt;/strong&gt; when taking damage from a digital or ranged source to reflect part of it back — attacker marks 2 Stress.</t>
  </si>
  <si>
    <t>&lt;p class="Card-Feature"&gt;Once per rest, Spend 2 Hope to gain +4 to evasion against one chosen target until your next action.</t>
  </si>
  <si>
    <t>&lt;p class="Card-Feature"&gt;&lt;strong&gt;Spend 3 Hope&lt;/strong&gt; to move up to Far in a straight line; Attack all creatures passed. Gun is emptied afterward and you must take an Action to reload before you can make another Attack action.</t>
  </si>
  <si>
    <t>hope:3</t>
  </si>
  <si>
    <t>&lt;p class="Card-Feature"&gt;&lt;strong&gt;Mark 2 Stress&lt;/strong&gt;Attack up to your Proficiency number of targets within Far range in a 45 degree cone.  Make 1 Attack roll at +2 against the first target.  Subtract 2 from that value for the second target and subtract 2 more for each subsequent target.  (So, 1 roll of the Destiny dice, but the value is applied to all targets, starting at +2 and going down by 2 for each target after the first. Gun is emptied afterward and you must take an Action to reload before you can make another Attack action.</t>
  </si>
  <si>
    <t>&lt;p class="Card-Feature"&gt;&lt;strong&gt;Mark 4 Stress&lt;/strong&gt;Attack all targets within Very Far in a 90 degree cone.  Make 1 Attack roll at +2 against the first target, which must be at the left or right side of the cone, and all subsequent target is in the natural order sweeping through the cone.  Subtract 1 from that value for the second target and subtract 1 more for each subsequent target.  (So, 1 roll of the Destiny dice, but the value is applied to all targets, starting at +2 and going down by 1 for each target after the first). Gun is emptied afterward and you must take an Action to reload before you can make another Attack action.</t>
  </si>
  <si>
    <t>&lt;p class="Card-Feature"&gt;At the start of the Session, place tokens on this card equal to your proficiency level.  Take an Action to Spend one token to detonate an explosion within Far range. Target takes d8+2 damage; all others within Very Close of the target take d6. &lt;strong&gt;Mark 2 Stress&lt;/strong&gt; to refresh this card with tokens</t>
  </si>
  <si>
    <t>&lt;p class="Card-Feature"&gt;As an Action, &lt;strong&gt;Spend 1 Hope&lt;/strong&gt; for your &lt;b&gt;Primary Drone&lt;/b&gt; to attack with advantage; add dH extra damage on success depending on your Tier (1:d4, 2:d6, 3:d8, 4:d10)</t>
  </si>
  <si>
    <t>Subdermal weave Mk.I</t>
  </si>
  <si>
    <t>Dermal Plating Mk.I</t>
  </si>
  <si>
    <t>Dermal Plating Mk.II</t>
  </si>
  <si>
    <t>Subdermal weave Mk.II</t>
  </si>
  <si>
    <t>Subdermal weave Mk.III</t>
  </si>
  <si>
    <t>Subdermal weave Mk.IV</t>
  </si>
  <si>
    <t>skin</t>
  </si>
  <si>
    <t>arm</t>
  </si>
  <si>
    <t>Dynamic tattoo</t>
  </si>
  <si>
    <t>bone</t>
  </si>
  <si>
    <t>muscle</t>
  </si>
  <si>
    <t>nervous system</t>
  </si>
  <si>
    <t>brain</t>
  </si>
  <si>
    <t>Fingers</t>
  </si>
  <si>
    <t xml:space="preserve">arm </t>
  </si>
  <si>
    <t>eye</t>
  </si>
  <si>
    <t>ear</t>
  </si>
  <si>
    <t>eye/brain</t>
  </si>
  <si>
    <t>feet</t>
  </si>
  <si>
    <t>Dermal Plating Mk.III</t>
  </si>
  <si>
    <t>Dermal Plating Mk.IV</t>
  </si>
  <si>
    <t>adrenal gland</t>
  </si>
  <si>
    <t>Empathic Feedback Loop</t>
  </si>
  <si>
    <t>Cortisol Modulator</t>
  </si>
  <si>
    <t>Reflex Loop Accelerator</t>
  </si>
  <si>
    <t>Predictive Motion Processor</t>
  </si>
  <si>
    <t>Cognitive Overclock Node</t>
  </si>
  <si>
    <t>Gyroscopic Stabilizer Frame</t>
  </si>
  <si>
    <t>Vox Resonance Enhancer</t>
  </si>
  <si>
    <t>Combat Reflex Core</t>
  </si>
  <si>
    <t>Thaumic Nullifier Implant</t>
  </si>
  <si>
    <t>Kinetic Absorber Matrix</t>
  </si>
  <si>
    <t>Reactive Gel Layer</t>
  </si>
  <si>
    <t>Etheric Dampening Core</t>
  </si>
  <si>
    <t>Shock-Dispersion Skeleton</t>
  </si>
  <si>
    <t>Phase Interference Skin</t>
  </si>
  <si>
    <t>Endosteel Frame</t>
  </si>
  <si>
    <t>Cognitive Filter Array</t>
  </si>
  <si>
    <t>Motion Prediction Gyro</t>
  </si>
  <si>
    <t>Nerve-Lattice Fingertips</t>
  </si>
  <si>
    <t>Nanite Medigel Reservoir</t>
  </si>
  <si>
    <t>Regenerative Stemware</t>
  </si>
  <si>
    <t>DreamWeaver Chip</t>
  </si>
  <si>
    <t>REM Compression Routine</t>
  </si>
  <si>
    <t>Arc Resonator Node</t>
  </si>
  <si>
    <t>Etheric Amplifier</t>
  </si>
  <si>
    <t>Nanite Trauma Mesh</t>
  </si>
  <si>
    <t>Neuro-Spinal Load Balancer</t>
  </si>
  <si>
    <t>Modular Hardpoint Interface</t>
  </si>
  <si>
    <t>Ballistic Enhancement Barrel</t>
  </si>
  <si>
    <t>Reactive Ammo Loader</t>
  </si>
  <si>
    <t>SkillJack Neural Matrix</t>
  </si>
  <si>
    <t>Mana Projector Coil</t>
  </si>
  <si>
    <t>Ballistic Servo Sight</t>
  </si>
  <si>
    <t>Adrenal Surge Regulator</t>
  </si>
  <si>
    <t>Tactical Subcortex</t>
  </si>
  <si>
    <t>Shock Damping Frame</t>
  </si>
  <si>
    <t>Meditative Reflex Chip</t>
  </si>
  <si>
    <t>Cognitive Manifold Core</t>
  </si>
  <si>
    <t>Psi-Focus Amplifier</t>
  </si>
  <si>
    <t>Myomer Muscle Weave</t>
  </si>
  <si>
    <t>Neural Firewall</t>
  </si>
  <si>
    <t>Limbic Nullifier</t>
  </si>
  <si>
    <t>system.resources.hitPoints</t>
  </si>
  <si>
    <t>system.resources.stress</t>
  </si>
  <si>
    <t>system.bonuses.roll.action.dice</t>
  </si>
  <si>
    <t>system.bonuses.roll.action.bonus</t>
  </si>
  <si>
    <t>system.bonuses.roll.attack.dice</t>
  </si>
  <si>
    <t>system.bonuses.roll.attack.bonus</t>
  </si>
  <si>
    <t>system.resistance.magical.immunity</t>
  </si>
  <si>
    <t>system.resistance.physical.immunity</t>
  </si>
  <si>
    <t>system.resistance.magical.reduction</t>
  </si>
  <si>
    <t>system.resistance.physical.reduction</t>
  </si>
  <si>
    <t>system.resistance.magical.resistance</t>
  </si>
  <si>
    <t>system.resistance.physical.resistance</t>
  </si>
  <si>
    <t>system.bonuses.damage.magical.dice</t>
  </si>
  <si>
    <t>system.bonuses.damage.magical.bonus</t>
  </si>
  <si>
    <t>system.damageThresholds.major</t>
  </si>
  <si>
    <t>system.bonuses.damage.physical.dice</t>
  </si>
  <si>
    <t>system.bonuses.damage.physical.bonus</t>
  </si>
  <si>
    <t>system.bonuses.roll.reaction.dice</t>
  </si>
  <si>
    <t>system.bonuses.roll.reaction.bonus</t>
  </si>
  <si>
    <t>system.damageThresholds.severe</t>
  </si>
  <si>
    <t>system.resources.hope</t>
  </si>
  <si>
    <t>system.advantageSources</t>
  </si>
  <si>
    <t>system.traits.agility.value</t>
  </si>
  <si>
    <t>system.armorScore</t>
  </si>
  <si>
    <t>system.bonuses.rally</t>
  </si>
  <si>
    <t>system.rules.attack.damage.bonus</t>
  </si>
  <si>
    <t>system.rules.attack.damage.diceIndex</t>
  </si>
  <si>
    <t>system.rules.attack.roll.trait</t>
  </si>
  <si>
    <t>system.rules.damageReduction.increasePerArmorMark</t>
  </si>
  <si>
    <t>system.disadvantageSources</t>
  </si>
  <si>
    <t>system.evasion</t>
  </si>
  <si>
    <t>system.traits.finesse.value</t>
  </si>
  <si>
    <t>system.bonuses.healing.dice</t>
  </si>
  <si>
    <t>system.bonuses.healing.bonus</t>
  </si>
  <si>
    <t>system.traits.instinct.value</t>
  </si>
  <si>
    <t>system.traits.knowledge.value</t>
  </si>
  <si>
    <t>system.bonuses.rest.longRest.longMoves</t>
  </si>
  <si>
    <t>system.bonuses.rest.longRest.shortMoves</t>
  </si>
  <si>
    <t>system.rules.damageReduction.maxArmorMarked.value</t>
  </si>
  <si>
    <t>system.bonuses.maxLoadout</t>
  </si>
  <si>
    <t>system.traits.presence.value</t>
  </si>
  <si>
    <t>system.bonuses.roll.primaryWeapon.dice</t>
  </si>
  <si>
    <t>system.bonuses.damage.primaryWeapon.bonus</t>
  </si>
  <si>
    <t>system.proficiency</t>
  </si>
  <si>
    <t>system.bonuses.range.other</t>
  </si>
  <si>
    <t>system.bonuses.range.spell</t>
  </si>
  <si>
    <t>system.bonuses.range.weapon</t>
  </si>
  <si>
    <t>system.bonuses.roll.secondaryWeapon.dice</t>
  </si>
  <si>
    <t>system.bonuses.roll.secondaryWeapon.bonus</t>
  </si>
  <si>
    <t>system.bonuses.damage.secondaryWeapon.dice</t>
  </si>
  <si>
    <t>system.bonuses.damage.secondaryWeapon.bonus</t>
  </si>
  <si>
    <t>system.bonuses.rest.shortRest.longMoves</t>
  </si>
  <si>
    <t>system.bonuses.rest.shortRest.shortMoves</t>
  </si>
  <si>
    <t>system.bonuses.roll.spellcast.dice</t>
  </si>
  <si>
    <t>system.bonuses.roll.spellcast.bonus</t>
  </si>
  <si>
    <t>system.traits.strength.value</t>
  </si>
  <si>
    <t>system.rules.damageReduction.stressDamageReduction.any.cost</t>
  </si>
  <si>
    <t>system.rules.damageReduction.stressDamageReduction.major.cost</t>
  </si>
  <si>
    <t>system.rules.damageReduction.stressDamageReduction.minor.cost</t>
  </si>
  <si>
    <t>system.bonuses.roll.trait.dice</t>
  </si>
  <si>
    <t>system.bonuses.roll.trait.bonus</t>
  </si>
  <si>
    <t>Hit Points</t>
  </si>
  <si>
    <t>Stress</t>
  </si>
  <si>
    <t>Action Roll Dice</t>
  </si>
  <si>
    <t>Action Roll Value</t>
  </si>
  <si>
    <t>Advantage Sources</t>
  </si>
  <si>
    <t>Agility</t>
  </si>
  <si>
    <t>Armor Score</t>
  </si>
  <si>
    <t>Attack Roll Dice</t>
  </si>
  <si>
    <t>Attack Roll Value</t>
  </si>
  <si>
    <t>Bardic Rally</t>
  </si>
  <si>
    <t>Base Attack: Damage Bonus</t>
  </si>
  <si>
    <t>Base Attack: Damage Dice Index</t>
  </si>
  <si>
    <t>Base Attack: Trait</t>
  </si>
  <si>
    <t>Damage Immunity: Magical</t>
  </si>
  <si>
    <t>Damage Immunity: Physical</t>
  </si>
  <si>
    <t>Damage Reduction per Armor Slot</t>
  </si>
  <si>
    <t>Damage Reduction: Magical</t>
  </si>
  <si>
    <t>Damage Reduction: Physical</t>
  </si>
  <si>
    <t>Damage Resistance: Magical</t>
  </si>
  <si>
    <t>Damage Resistance: Physical</t>
  </si>
  <si>
    <t>Disadvantage Sources</t>
  </si>
  <si>
    <t>Evasion</t>
  </si>
  <si>
    <t>Finesse</t>
  </si>
  <si>
    <t>Healing Amount Dice</t>
  </si>
  <si>
    <t>Healing Amount Value</t>
  </si>
  <si>
    <t>Instinct</t>
  </si>
  <si>
    <t>Knowledge</t>
  </si>
  <si>
    <t>Long Rest: Bonus Long Rest Moves</t>
  </si>
  <si>
    <t>Long Rest: Bonus Short Rest Moves</t>
  </si>
  <si>
    <t>Magical Damage Dice</t>
  </si>
  <si>
    <t>Magical Damage Value</t>
  </si>
  <si>
    <t>Major Damage Threshold</t>
  </si>
  <si>
    <t>Max Armor Used With Stress</t>
  </si>
  <si>
    <t>Max Loadout Cards Bonus</t>
  </si>
  <si>
    <t>Physical Damage Dice</t>
  </si>
  <si>
    <t>Physical Damage Value</t>
  </si>
  <si>
    <t>Primary Weapon Attack Roll Value</t>
  </si>
  <si>
    <t>Primary Weapon Damage Dice</t>
  </si>
  <si>
    <t>Primary Weapon Damage Value</t>
  </si>
  <si>
    <t>Proficiency</t>
  </si>
  <si>
    <t>Range Increase: Other</t>
  </si>
  <si>
    <t>Range Increase: Spell</t>
  </si>
  <si>
    <t>Range Increase: Weapon</t>
  </si>
  <si>
    <t>Reaction Roll Dice</t>
  </si>
  <si>
    <t>Reaction Roll Value</t>
  </si>
  <si>
    <t>Secondary Weapon Attack Roll Dice</t>
  </si>
  <si>
    <t>Secondary Weapon Attack Roll Value</t>
  </si>
  <si>
    <t>Secondary Weapon Damage Dice</t>
  </si>
  <si>
    <t>Secondary Weapon Damage Value</t>
  </si>
  <si>
    <t>Severe Damage Threshold</t>
  </si>
  <si>
    <t>Short Rest: Bonus Long Rest Moves</t>
  </si>
  <si>
    <t>Short Rest: Bonus Short Rest Moves</t>
  </si>
  <si>
    <t>Spellcast Roll Dice</t>
  </si>
  <si>
    <t>Spellcast Roll Value</t>
  </si>
  <si>
    <t>Strength</t>
  </si>
  <si>
    <t>Stress Damage Reduction: Any</t>
  </si>
  <si>
    <t>Stress Damage Reduction: Major</t>
  </si>
  <si>
    <t>effects.changes.key</t>
  </si>
  <si>
    <t>(no direct key; represented indirectly by physical damage dice)</t>
  </si>
  <si>
    <t>effect-display-name</t>
  </si>
  <si>
    <t>system.rules.damageReduction.stressDamageReduction.severe.cost</t>
  </si>
  <si>
    <t>Prevent Major Wound</t>
  </si>
  <si>
    <t>Adv. Nanite Trauma Mesh</t>
  </si>
  <si>
    <t>Prevent Severe Wound</t>
  </si>
  <si>
    <t>system.bonuses.damage.primaryWeapon.dice</t>
  </si>
  <si>
    <t>Stress Damage Reduction: Minor</t>
  </si>
  <si>
    <t>Stress Damage Reduction: Severe</t>
  </si>
  <si>
    <t>Trait Roll Dice</t>
  </si>
  <si>
    <t>Trait Roll Value</t>
  </si>
  <si>
    <t>Trauma Suppression Cortex</t>
  </si>
  <si>
    <t>Emotive Pulse Regulator</t>
  </si>
  <si>
    <t>Parallel Synapse Array</t>
  </si>
  <si>
    <t>Neural Precision Co-Processor</t>
  </si>
  <si>
    <t>muscles</t>
  </si>
  <si>
    <t>legs</t>
  </si>
  <si>
    <t>vocal chords</t>
  </si>
  <si>
    <t>chakra</t>
  </si>
  <si>
    <t>bones</t>
  </si>
  <si>
    <t>brain/nervous system/muscles</t>
  </si>
  <si>
    <t>hand</t>
  </si>
  <si>
    <t>body</t>
  </si>
  <si>
    <t>Prevent Minor Wound</t>
  </si>
  <si>
    <t>humanity-cost</t>
  </si>
  <si>
    <t>2</t>
  </si>
  <si>
    <t>1</t>
  </si>
  <si>
    <t>3</t>
  </si>
  <si>
    <t>4</t>
  </si>
  <si>
    <t>effect.</t>
  </si>
  <si>
    <t>0</t>
  </si>
  <si>
    <t>Chemical hazard sensor</t>
  </si>
  <si>
    <t>nose</t>
  </si>
  <si>
    <t>Enables SmartLink</t>
  </si>
  <si>
    <t>scene</t>
  </si>
  <si>
    <t>SmartLink™ CPU Implant</t>
  </si>
  <si>
    <t>Cyberarm™ Hydraulic Actuator</t>
  </si>
  <si>
    <t>Cyberarm™ Base Unit</t>
  </si>
  <si>
    <t>SmartLink™ Weapon Mount</t>
  </si>
  <si>
    <t>Brainiac™ CPU Implant</t>
  </si>
  <si>
    <t>Elite Nanite Trauma Mesh</t>
  </si>
  <si>
    <t>Cyberarm™  Combat Limbs</t>
  </si>
  <si>
    <t>Cyberarm™ Shock Servo Enhancer</t>
  </si>
  <si>
    <t>SmartLink™ Targeting Core</t>
  </si>
  <si>
    <t>SmartLink™ Targeting Reticle Implant</t>
  </si>
  <si>
    <t>SmartLink™ Headshot</t>
  </si>
  <si>
    <t>SmartLink™ Armor Analyzer</t>
  </si>
  <si>
    <t>Brainiac™ Signal Amplifier Array</t>
  </si>
  <si>
    <t>SmartLink™ Ballistics</t>
  </si>
  <si>
    <t>Claws</t>
  </si>
  <si>
    <t>Brainiac™ Cyberdeck</t>
  </si>
  <si>
    <t>Brainiac™ Know-it-all</t>
  </si>
  <si>
    <t>Brainiac™ Mirror Neuron Amplifier</t>
  </si>
  <si>
    <t>Brainiac™ Intuit</t>
  </si>
  <si>
    <t>Brainiac™ Skilz</t>
  </si>
  <si>
    <t>Oculus™ Eagle Eye</t>
  </si>
  <si>
    <t>Oculus™ Base Unit</t>
  </si>
  <si>
    <t>Oculus™ Witch Eye</t>
  </si>
  <si>
    <t>Oculus™ Allure Eye</t>
  </si>
  <si>
    <t>Oculus™ Spectra</t>
  </si>
  <si>
    <t>Oculus™ Palette</t>
  </si>
  <si>
    <t>Oculus™ Inspecter</t>
  </si>
  <si>
    <t>Brainiac™ Base Unit</t>
  </si>
  <si>
    <t>Brainiac™ Drone Control</t>
  </si>
  <si>
    <t>Caracal Ears</t>
  </si>
  <si>
    <t>Wakizashi™ Dual-Targeting Suite</t>
  </si>
  <si>
    <t>Wakizashi™ Servo Wrist Reinforcement</t>
  </si>
  <si>
    <t>Wakizashi™ Kinetic Feedback Enhancer</t>
  </si>
  <si>
    <t>Wakizashi™ Base Unit</t>
  </si>
  <si>
    <t>Wakizashi™ Neural Balancer</t>
  </si>
  <si>
    <t>Gorilla Arms Mk.I</t>
  </si>
  <si>
    <t>Gorilla Arms Mk.II</t>
  </si>
  <si>
    <t>Gorilla Arms Mk.III</t>
  </si>
  <si>
    <t>Feline Feet Mk.I</t>
  </si>
  <si>
    <t>Feline Feet Mk.II</t>
  </si>
  <si>
    <t>Feline Feet Mk.III</t>
  </si>
  <si>
    <t>Feline Feet Mk.IV</t>
  </si>
  <si>
    <t>Speed Feet rollerblades</t>
  </si>
  <si>
    <t>corp</t>
  </si>
  <si>
    <t>Obsidian Biotek</t>
  </si>
  <si>
    <t>VectorLink Solutions</t>
  </si>
  <si>
    <t>ChromeCore Systems</t>
  </si>
  <si>
    <t>Helix Armorworks</t>
  </si>
  <si>
    <t>LumaDyne Dynamics</t>
  </si>
  <si>
    <t>Geist Industries</t>
  </si>
  <si>
    <t>Nakamura Cybernetics</t>
  </si>
  <si>
    <t>Cyberarm™ Widow Spine</t>
  </si>
  <si>
    <t>Cyberarm™ All Access</t>
  </si>
  <si>
    <t>Cyberarm™ Digital Uplink</t>
  </si>
  <si>
    <t>Cyberarm™ Holdall</t>
  </si>
  <si>
    <t>Cyberarm™ Monowhip</t>
  </si>
  <si>
    <t>Cyberarm™ Arsenal</t>
  </si>
  <si>
    <t>Cyberarm™ Stiletto</t>
  </si>
  <si>
    <t>Subdermal Nanoweave MkI</t>
  </si>
  <si>
    <t>subdermal-nanoweave-mki</t>
  </si>
  <si>
    <t>empathic-feedback-loop</t>
  </si>
  <si>
    <t>cortisol-modulator</t>
  </si>
  <si>
    <t>reflex-loop-accelerator</t>
  </si>
  <si>
    <t>predictive-motion-processor</t>
  </si>
  <si>
    <t>cognitive-overclock-node</t>
  </si>
  <si>
    <t>gyroscopic-stabilizer-frame</t>
  </si>
  <si>
    <t>vox-resonance-enhancer</t>
  </si>
  <si>
    <t>combat-reflex-core</t>
  </si>
  <si>
    <t>thaumic-nullifier-implant</t>
  </si>
  <si>
    <t>kinetic-absorber-matrix</t>
  </si>
  <si>
    <t>reactive-gel-layer</t>
  </si>
  <si>
    <t>etheric-dampening-core</t>
  </si>
  <si>
    <t>shock-dispersion-skeleton</t>
  </si>
  <si>
    <t>phase-interference-skin</t>
  </si>
  <si>
    <t>endosteel-frame</t>
  </si>
  <si>
    <t>cognitive-filter-array</t>
  </si>
  <si>
    <t>motion-prediction-gyro</t>
  </si>
  <si>
    <t>nerve-lattice-fingertips</t>
  </si>
  <si>
    <t>nanite-medigel-reservoir</t>
  </si>
  <si>
    <t>regenerative-stemware</t>
  </si>
  <si>
    <t>dreamweaver-chip</t>
  </si>
  <si>
    <t>rem-compression-routine</t>
  </si>
  <si>
    <t>arc-resonator-node</t>
  </si>
  <si>
    <t>etheric-amplifier</t>
  </si>
  <si>
    <t>adv.-nanite-trauma-mesh</t>
  </si>
  <si>
    <t>elite-nanite-trauma-mesh</t>
  </si>
  <si>
    <t>neuro-spinal-load-balancer</t>
  </si>
  <si>
    <t>modular-hardpoint-interface</t>
  </si>
  <si>
    <t>nanite-trauma-mesh</t>
  </si>
  <si>
    <t>skilljack-neural-matrix</t>
  </si>
  <si>
    <t>mana-projector-coil</t>
  </si>
  <si>
    <t>adrenal-surge-regulator</t>
  </si>
  <si>
    <t>tactical-subcortex</t>
  </si>
  <si>
    <t>meditative-reflex-chip</t>
  </si>
  <si>
    <t>cognitive-manifold-core</t>
  </si>
  <si>
    <t>psi-focus-amplifier</t>
  </si>
  <si>
    <t>myomer-muscle-weave</t>
  </si>
  <si>
    <t>neural-firewall</t>
  </si>
  <si>
    <t>limbic-nullifier</t>
  </si>
  <si>
    <t>trauma-suppression-cortex</t>
  </si>
  <si>
    <t>emotive-pulse-regulator</t>
  </si>
  <si>
    <t>parallel-synapse-array</t>
  </si>
  <si>
    <t>neural-precision-co-processor</t>
  </si>
  <si>
    <t>subdermal-weave-mk.i</t>
  </si>
  <si>
    <t>subdermal-weave-mk.ii</t>
  </si>
  <si>
    <t>subdermal-weave-mk.iii</t>
  </si>
  <si>
    <t>subdermal-weave-mk.iv</t>
  </si>
  <si>
    <t>dynamic-tattoo</t>
  </si>
  <si>
    <t>chemical-hazard-sensor</t>
  </si>
  <si>
    <t>dermal-plating-mk.i</t>
  </si>
  <si>
    <t>dermal-plating-mk.ii</t>
  </si>
  <si>
    <t>dermal-plating-mk.iii</t>
  </si>
  <si>
    <t>dermal-plating-mk.iv</t>
  </si>
  <si>
    <t>gorilla-arms-mk.i</t>
  </si>
  <si>
    <t>gorilla-arms-mk.ii</t>
  </si>
  <si>
    <t>gorilla-arms-mk.iii</t>
  </si>
  <si>
    <t>feline-feet-mk.i</t>
  </si>
  <si>
    <t>feline-feet-mk.ii</t>
  </si>
  <si>
    <t>feline-feet-mk.iii</t>
  </si>
  <si>
    <t>feline-feet-mk.iv</t>
  </si>
  <si>
    <t>claws</t>
  </si>
  <si>
    <t>caracal-ears</t>
  </si>
  <si>
    <t>speed-feet-rollerblades</t>
  </si>
  <si>
    <t>smartlink-targeting-reticle-implant</t>
  </si>
  <si>
    <t>brainiac-cpu-implant</t>
  </si>
  <si>
    <t>smartlink-cpu-implant</t>
  </si>
  <si>
    <t>cyberarm-base-unit</t>
  </si>
  <si>
    <t>cyberarm-hydraulic-actuator</t>
  </si>
  <si>
    <t>smartlink-weapon-mount</t>
  </si>
  <si>
    <t>brainiac-intuit</t>
  </si>
  <si>
    <t>brainiac-know-it-all</t>
  </si>
  <si>
    <t>cyberarm-shock-servo-enhancer</t>
  </si>
  <si>
    <t>cyberarm--combat-limbs</t>
  </si>
  <si>
    <t>brainiac-mirror-neuron-amplifier</t>
  </si>
  <si>
    <t>smartlink-targeting-core</t>
  </si>
  <si>
    <t>smartlink-headshot</t>
  </si>
  <si>
    <t>smartlink-armor-analyzer</t>
  </si>
  <si>
    <t>brainiac-signal-amplifier-array</t>
  </si>
  <si>
    <t>smartlink-ballistics</t>
  </si>
  <si>
    <t>wakizashi-base-unit</t>
  </si>
  <si>
    <t>wakizashi-dual-targeting-suite</t>
  </si>
  <si>
    <t>wakizashi-neural-balancer</t>
  </si>
  <si>
    <t>wakizashi-servo-wrist-reinforcement</t>
  </si>
  <si>
    <t>wakizashi-kinetic-feedback-enhancer</t>
  </si>
  <si>
    <t>cyberarm-widow-spine</t>
  </si>
  <si>
    <t>cyberarm-all-access</t>
  </si>
  <si>
    <t>cyberarm-digital-uplink</t>
  </si>
  <si>
    <t>cyberarm-holdall</t>
  </si>
  <si>
    <t>brainiac-cyberdeck</t>
  </si>
  <si>
    <t>brainiac-skilz</t>
  </si>
  <si>
    <t>oculus-base-unit</t>
  </si>
  <si>
    <t>oculus-eagle-eye</t>
  </si>
  <si>
    <t>oculus-palette</t>
  </si>
  <si>
    <t>oculus-spectra</t>
  </si>
  <si>
    <t>oculus-witch-eye</t>
  </si>
  <si>
    <t>oculus-allure-eye</t>
  </si>
  <si>
    <t>oculus-inspecter</t>
  </si>
  <si>
    <t>brainiac-base-unit</t>
  </si>
  <si>
    <t>brainiac-drone-control</t>
  </si>
  <si>
    <t>cyberarm-stiletto</t>
  </si>
  <si>
    <t>cyberarm-arsenal</t>
  </si>
  <si>
    <t>cyberarm-monowhip</t>
  </si>
  <si>
    <t>organ</t>
  </si>
  <si>
    <t>img-name-root</t>
  </si>
  <si>
    <t>action.uses.max</t>
  </si>
  <si>
    <t>action.recovery</t>
  </si>
  <si>
    <t>shortRest</t>
  </si>
  <si>
    <t>longRest</t>
  </si>
  <si>
    <t>marketing_blurb</t>
  </si>
  <si>
    <t>Shield your core: a heartbeat fortified.</t>
  </si>
  <si>
    <t>"Embrace renewal; hope embedded within."</t>
  </si>
  <si>
    <t>Ethereal serenity, engineered for your mind.</t>
  </si>
  <si>
    <t>Unleash potential, where stress births success.</t>
  </si>
  <si>
    <t>Unleash precision beyond mortal reach.</t>
  </si>
  <si>
    <t>"Hope-fueled edge, perfection's clandestine spark."</t>
  </si>
  <si>
    <t>Precision unleashed; elevate your aim.</t>
  </si>
  <si>
    <t>Unlock brilliance, master every challenge.</t>
  </si>
  <si>
    <t>"Awaken instinct with SmartLink's synergy."</t>
  </si>
  <si>
    <t>"Precision reborn; risk is your muse."</t>
  </si>
  <si>
    <t>"Whispering Echo: Amplify Charisma, Eclipse Despair."</t>
  </si>
  <si>
    <t>Unleash untamed might with mechanical grace.</t>
  </si>
  <si>
    <t>"Unleash your power, rest and rise."</t>
  </si>
  <si>
    <t>"Precision reborn, elevate your lethal art."</t>
  </si>
  <si>
    <t>"Forge your wrath; precision unfolds."</t>
  </si>
  <si>
    <t>Hope-crafted aegis against magical harm.</t>
  </si>
  <si>
    <t>"Fortify your flesh: hope, tokenized resilience."</t>
  </si>
  <si>
    <t>"Hope's shield: armor's unseen embrace."</t>
  </si>
  <si>
    <t>Become impervious to arcane whispers.</t>
  </si>
  <si>
    <t>Arcane Shield: Veil your vulnerabilities.</t>
  </si>
  <si>
    <t>"Aegis of Hope: Armor for the Soul."</t>
  </si>
  <si>
    <t>Hope-fueled shield: halve your harm.</t>
  </si>
  <si>
    <t>Stress for clarity; mind transcends chaos.</t>
  </si>
  <si>
    <t>"Swift salvation in chrome elegance."</t>
  </si>
  <si>
    <t>"Empower precision, barter with destiny."</t>
  </si>
  <si>
    <t>Double your renewal, embrace pure vitality.</t>
  </si>
  <si>
    <t>"Restore, rejuvenate: your timeless touchpoint."</t>
  </si>
  <si>
    <t>"Awaken your potential with a spark."</t>
  </si>
  <si>
    <t>Unlock brilliance; trade despair for genius.</t>
  </si>
  <si>
    <t>"Dream deeper, recharge beyond limits."</t>
  </si>
  <si>
    <t>"Crave rest? Double the dream."</t>
  </si>
  <si>
    <t>"Surge forward: amplify your arcane arsenal."</t>
  </si>
  <si>
    <t>"Elegantly Enhance Destruction: Your Power Multiplied."</t>
  </si>
  <si>
    <t>"Defy destruction with hidden resilience."</t>
  </si>
  <si>
    <t>"Defy Fate, Preserve with Precision."</t>
  </si>
  <si>
    <t>"Fortify Essence; transmute fear to vapor."</t>
  </si>
  <si>
    <t>"Enhance potential, expand your digital domain."</t>
  </si>
  <si>
    <t>Escape harm's grasp; rewrite fate.</t>
  </si>
  <si>
    <t>"Unleash silent fury, upgrade your strike."</t>
  </si>
  <si>
    <t>Edge precision, unrivaled force, definitive impact.</t>
  </si>
  <si>
    <t>"Trade hope for unwavering charisma surge."</t>
  </si>
  <si>
    <t>"Precision Perfected, Lethality Enhanced."</t>
  </si>
  <si>
    <t>"Unleash precision, elevate impact."</t>
  </si>
  <si>
    <t>"Unleash precision; amplify destruction's whisper."</t>
  </si>
  <si>
    <t>Elevate potential; risk-draped enhancement awaits.</t>
  </si>
  <si>
    <t>Extend your touch to distant realms.</t>
  </si>
  <si>
    <t>"Unveil horizons, empower your reach."</t>
  </si>
  <si>
    <t>"Extend your reach, redefine distance."</t>
  </si>
  <si>
    <t>"Ascend with Hope, embrace limitless potential."</t>
  </si>
  <si>
    <t>Ascend reactions, thrive with precision.</t>
  </si>
  <si>
    <t>"Unlock potential; wield hope's edge."</t>
  </si>
  <si>
    <t>Unlock despair's edge, amplify hope.</t>
  </si>
  <si>
    <t>Unlock hidden potential with Hope's precision.</t>
  </si>
  <si>
    <t>"Flesh meets metal; unleash hidden power."</t>
  </si>
  <si>
    <t>Hope-fueled fury, precision scars victory.</t>
  </si>
  <si>
    <t>Serenity unlocked: elite stress liberation device.</t>
  </si>
  <si>
    <t>"Unleash hope, transcend limits."</t>
  </si>
  <si>
    <t>"Power surges—increase, unleash devastation."</t>
  </si>
  <si>
    <t>Forge destiny with unyielding cybernetic might.</t>
  </si>
  <si>
    <t>Turn despair to dust with hidden grace.</t>
  </si>
  <si>
    <t>"Hope's haven in cybernetic grace."</t>
  </si>
  <si>
    <t>Hope's Shield: Defy damage, embrace resilience.</t>
  </si>
  <si>
    <t>Hope's shield, a warrior's silent sanctuary.</t>
  </si>
  <si>
    <t>Unleash hidden strength with a whisper.</t>
  </si>
  <si>
    <t>Elevate thought; brilliance, a heartbeat away.</t>
  </si>
  <si>
    <t>"Elegance woven beneath, strength redefined."</t>
  </si>
  <si>
    <t>"Endure the storm, woven to withstand."</t>
  </si>
  <si>
    <t>"Endure battle's storm with woven resilience."</t>
  </si>
  <si>
    <t>"Master the battlefield with unyielding resilience."</t>
  </si>
  <si>
    <t>"Radiate power; command with a glance."</t>
  </si>
  <si>
    <t>Inhale secrets; exhale mastery.</t>
  </si>
  <si>
    <t>"Fortified skin, limitless potential."</t>
  </si>
  <si>
    <t>Armor solidified, elegance amplified.</t>
  </si>
  <si>
    <t>"Fortify flesh; embrace hidden resilience."</t>
  </si>
  <si>
    <t>Unyielding shield, elegance beneath the skin.</t>
  </si>
  <si>
    <t>Power meets precision for unstoppable dominance.</t>
  </si>
  <si>
    <t>"Hope-fueled strikes, each blow amplified."</t>
  </si>
  <si>
    <t>"Unleash the steel within; crush with precision."</t>
  </si>
  <si>
    <t>Leap beyond limits with feline finesse.</t>
  </si>
  <si>
    <t>Graceful precision dances on synthetic paws.</t>
  </si>
  <si>
    <t>Agility redefined, leap beyond limits.</t>
  </si>
  <si>
    <t>"Prowess purchased: grace in every gamble."</t>
  </si>
  <si>
    <t>Forged elegance, lethal precision.</t>
  </si>
  <si>
    <t>"Grapple destiny; ensnare fate's embrace."</t>
  </si>
  <si>
    <t>Unlock elegance, embrace limitless entry.</t>
  </si>
  <si>
    <t>"Embrace fusion; hack reality's core."</t>
  </si>
  <si>
    <t>"Secrets hidden beneath your seamless alloy."</t>
  </si>
  <si>
    <t>"Whispered code, unleashed within arm's reach."</t>
  </si>
  <si>
    <t>"Unlock hidden worlds with neural flair."</t>
  </si>
  <si>
    <t>"See, capture, upgrade—vision redefined."</t>
  </si>
  <si>
    <t>"Sharpen sights, redefine the unseen."</t>
  </si>
  <si>
    <t>Whispers unveiled, secrets echo endlessly.</t>
  </si>
  <si>
    <t>"Shift your gaze, shape your truth."</t>
  </si>
  <si>
    <t>"Pierce veils of light unseen before."</t>
  </si>
  <si>
    <t>"Empower your gaze, command with intent."</t>
  </si>
  <si>
    <t>"Illuminate desire, captivate with a gaze."</t>
  </si>
  <si>
    <t>"Eyes unveil secrets, but Hope pays."</t>
  </si>
  <si>
    <t>"Amplify intellect, unlock future potential."</t>
  </si>
  <si>
    <t>"" - Master minds, bend drones, limitlessly near.</t>
  </si>
  <si>
    <t>Glide seamlessly, strike swiftly with precision.</t>
  </si>
  <si>
    <t>Swift steel triumph; your closest ally.</t>
  </si>
  <si>
    <t>"Arm your elegance with precision art."</t>
  </si>
  <si>
    <t>"Unleash precision: slice worlds seamlessly."</t>
  </si>
  <si>
    <t>&lt;i&gt;Shield your core: a heartbeat fortified.&lt;/i&gt;&lt;br&gt;&lt;br&gt;&lt;p class="Card-Feature"&gt;+1 Hit Point</t>
  </si>
  <si>
    <t>&lt;i&gt;"Embrace renewal; hope embedded within."&lt;/i&gt;&lt;br&gt;&lt;br&gt;&lt;p class="Card-Feature"&gt;Once per rest, Gain 1 Hope</t>
  </si>
  <si>
    <t>&lt;i&gt;Ethereal serenity, engineered for your mind.&lt;/i&gt;&lt;br&gt;&lt;br&gt;&lt;p class="Card-Feature"&gt;Once per rest, Recover 1 Stress</t>
  </si>
  <si>
    <t>&lt;i&gt;Unleash potential, where stress births success.&lt;/i&gt;&lt;br&gt;&lt;br&gt;&lt;p class="Card-Feature"&gt;Once per rest, &lt;strong&gt;Mark 1 Stress&lt;/strong&gt; to make your Hope die a d20 for 1 attack roll</t>
  </si>
  <si>
    <t>&lt;i&gt;Unleash precision beyond mortal reach.&lt;/i&gt;&lt;br&gt;&lt;br&gt;&lt;p class="Card-Feature"&gt;&lt;strong&gt;Spend 1 Hope&lt;/strong&gt; to gain +2 on an attack roll</t>
  </si>
  <si>
    <t>&lt;i&gt;"Hope-fueled edge, perfection's clandestine spark."&lt;/i&gt;&lt;br&gt;&lt;br&gt;&lt;p class="Card-Feature"&gt;Once per long rest, &lt;strong&gt;Spend 1 Hope&lt;/strong&gt; to gain advantage on an action (of any type)</t>
  </si>
  <si>
    <t>&lt;i&gt;Precision unleashed; elevate your aim.&lt;/i&gt;&lt;br&gt;&lt;br&gt;&lt;p class="Card-Feature"&gt;When firing a SmartLink™ enabled weapon, +1 Attack.  &lt;br&gt;&lt;br&gt;Requires the SmartLink™ CPU implant</t>
  </si>
  <si>
    <t>&lt;i&gt;Unlock brilliance, master every challenge.&lt;/i&gt;&lt;br&gt;&lt;br&gt;&lt;p class="Card-Feature"&gt;Brainiac™ base unit - enables other Brainiac-related cybernetics and abilities. &lt;br&gt;&lt;br&gt;Once per long rest, &lt;strong&gt;Spend 1 Hope&lt;/strong&gt; for advantage on an Knowlege roll or saving throw - the Knowledge roll must be on a topic that your character could reasonably be proficient with (does not grant new knowledge)</t>
  </si>
  <si>
    <t>&lt;i&gt;"Awaken instinct with SmartLink's synergy."&lt;/i&gt;&lt;br&gt;&lt;br&gt;&lt;p class="Card-Feature"&gt;SmarkLink™ base unit - enables other SmartLink-related weapons and abilities. &lt;br&gt;&lt;br&gt;Once per long rest, &lt;strong&gt;Spend 1 Hope&lt;/strong&gt; for advantage on an Instinct roll or saving throw.</t>
  </si>
  <si>
    <t>&lt;i&gt;"Precision reborn; risk is your muse."&lt;/i&gt;&lt;br&gt;&lt;br&gt;&lt;p class="Card-Feature"&gt;Once per scene, as a Reaction, &lt;strong&gt;Mark 1 Stress&lt;/strong&gt; to reroll 1 Agility ablity or saving throw</t>
  </si>
  <si>
    <t>&lt;i&gt;"Whispering Echo: Amplify Charisma, Eclipse Despair."&lt;/i&gt;&lt;br&gt;&lt;br&gt;&lt;p class="Card-Feature"&gt;Once per scene, &lt;strong&gt;Spend 1 Hope&lt;/strong&gt; for advange on a Prescence Roll.  If you are a Bard, once per long-rest you may &lt;strong&gt;Spend 3 Hope&lt;/strong&gt; to increase the size of your Bard Die (e.g. from d4 to d6) before giving Bardic Inspriration</t>
  </si>
  <si>
    <t>&lt;i&gt;Unleash untamed might with mechanical grace.&lt;/i&gt;&lt;br&gt;&lt;br&gt;&lt;p class="Card-Feature"&gt;Cyberarm™ base unit - enables other Cyberarm-related cybernetics.  &lt;br&gt;&lt;br&gt; Once per long rest, &lt;strong&gt;Spend 1 Hope&lt;/strong&gt; for advantage on a Strength roll or saving throw</t>
  </si>
  <si>
    <t>&lt;i&gt;"Unleash your power, rest and rise."&lt;/i&gt;&lt;br&gt;&lt;br&gt;&lt;p class="Card-Feature"&gt;Reduce the Cyberarm™ Strength effect's recovery time to once per rest.  &lt;br&gt;&lt;br&gt;&lt;strong&gt;Spend 1 Hope&lt;/strong&gt; for advantage on a Strength roll or saving throw</t>
  </si>
  <si>
    <t>&lt;i&gt;"Precision reborn, elevate your lethal art."&lt;/i&gt;&lt;br&gt;&lt;br&gt;&lt;p class="Card-Feature"&gt;+3 to all Attacks made by a SmartLink™ weapon. &lt;br&gt;&lt;br&gt;Requires SmartLink™ CPU implant</t>
  </si>
  <si>
    <t>&lt;i&gt;"Forge your wrath; precision unfolds."&lt;/i&gt;&lt;br&gt;&lt;br&gt;&lt;p class="Card-Feature"&gt;+2 to all Attacks made by a Melee weapon.</t>
  </si>
  <si>
    <t>&lt;i&gt;Hope-crafted aegis against magical harm.&lt;/i&gt;&lt;br&gt;&lt;br&gt;&lt;p class="Card-Feature"&gt;Once per long rest, &lt;strong&gt;Spend 3 Hope&lt;/strong&gt; to place 3 tokens on this card.  &lt;br&gt;&lt;br&gt;As a Reaction, you can remove one token to negate a source of Magical damage.</t>
  </si>
  <si>
    <t>&lt;i&gt;"Fortify your flesh: hope, tokenized resilience."&lt;/i&gt;&lt;br&gt;&lt;br&gt;&lt;p class="Card-Feature"&gt;Once per long rest, &lt;strong&gt;Spend 3 Hope&lt;/strong&gt; to place 3 tokens on this card. &lt;br&gt;&lt;br&gt;As a Reaction, you can remove one token to negate a source of Physical damage.</t>
  </si>
  <si>
    <t>&lt;i&gt;"Hope's shield: armor's unseen embrace."&lt;/i&gt;&lt;br&gt;&lt;br&gt;&lt;p class="Card-Feature"&gt;Once per scene, &lt;strong&gt;Spend 1 Hope&lt;/strong&gt; to prevent 2 Hit Points of damage when marking an Armor Slot</t>
  </si>
  <si>
    <t>&lt;i&gt;Become impervious to arcane whispers.&lt;/i&gt;&lt;br&gt;&lt;br&gt;&lt;p class="Card-Feature"&gt;-2 to all sources of Magical damage</t>
  </si>
  <si>
    <t>&lt;i&gt;Arcane Shield: Veil your vulnerabilities.&lt;/i&gt;&lt;br&gt;&lt;br&gt;&lt;p class="Card-Feature"&gt;-2 to all sources of Physical damage</t>
  </si>
  <si>
    <t>&lt;i&gt;"Aegis of Hope: Armor for the Soul."&lt;/i&gt;&lt;br&gt;&lt;br&gt;&lt;p class="Card-Feature"&gt;Once per long rest, &lt;strong&gt;Spend 2 Hope&lt;/strong&gt; to place 2 tokens on this card. &lt;br&gt;&lt;br&gt;As a Reaction, you can remove one token to reduce a source of Magical damage by half</t>
  </si>
  <si>
    <t>&lt;i&gt;Hope-fueled shield: halve your harm.&lt;/i&gt;&lt;br&gt;&lt;br&gt;&lt;p class="Card-Feature"&gt;Once per long rest, &lt;strong&gt;Spend 2 Hope&lt;/strong&gt; to place 2 tokens on this card. &lt;br&gt;&lt;br&gt;As a Reaction, you can remove one token to negate a source of Physical damage by half.</t>
  </si>
  <si>
    <t>&lt;i&gt;Stress for clarity; mind transcends chaos.&lt;/i&gt;&lt;br&gt;&lt;br&gt;&lt;p class="Card-Feature"&gt;Once per rest, &lt;strong&gt;Mark 1 Stress&lt;/strong&gt; to negate 1 source of disadvantage for cognitive functions (those affecting Knowledge, Instinct, or Presence</t>
  </si>
  <si>
    <t>&lt;i&gt;"Swift salvation in chrome elegance."&lt;/i&gt;&lt;br&gt;&lt;br&gt;&lt;p class="Card-Feature"&gt;As a Reaction, &lt;strong&gt;Mark 1 Stress&lt;/strong&gt; to gain +2 on an Agility saving throw</t>
  </si>
  <si>
    <t>&lt;i&gt;"Empower precision, barter with destiny."&lt;/i&gt;&lt;br&gt;&lt;br&gt;&lt;p class="Card-Feature"&gt;&lt;strong&gt;Spend 1 Hope&lt;/strong&gt; to gain +2 on a Finesse roll or saving throw</t>
  </si>
  <si>
    <t>&lt;i&gt;Double your renewal, embrace pure vitality.&lt;/i&gt;&lt;br&gt;&lt;br&gt;&lt;p class="Card-Feature"&gt;Once per long rest, when you heal a Hit Point, you may heal and additional Hit Point</t>
  </si>
  <si>
    <t>&lt;i&gt;"Restore, rejuvenate: your timeless touchpoint."&lt;/i&gt;&lt;br&gt;&lt;br&gt;&lt;p class="Card-Feature"&gt;Gain an additional short rest downtime action that can only be used to heal a Hit Point</t>
  </si>
  <si>
    <t>&lt;i&gt;"Awaken your potential with a spark."&lt;/i&gt;&lt;br&gt;&lt;br&gt;&lt;p class="Card-Feature"&gt;&lt;strong&gt;Spend 1 Hope&lt;/strong&gt; to gain +2 on an Instinct Roll or Saving Throw. &lt;br&gt;&lt;br&gt; Requires Brainiac™ Base Unit.</t>
  </si>
  <si>
    <t>&lt;i&gt;Unlock brilliance; trade despair for genius.&lt;/i&gt;&lt;br&gt;&lt;br&gt;&lt;p class="Card-Feature"&gt;&lt;strong&gt;Spend 1 Hope&lt;/strong&gt; to gain +2 on a Knowledge Roll or Saving Throw. &lt;br&gt;&lt;br&gt; Requires Brainiac™ Base Unit.</t>
  </si>
  <si>
    <t>&lt;i&gt;"Dream deeper, recharge beyond limits."&lt;/i&gt;&lt;br&gt;&lt;br&gt;&lt;p class="Card-Feature"&gt;Gain one additional long rest downtime action</t>
  </si>
  <si>
    <t>&lt;i&gt;"Crave rest? Double the dream."&lt;/i&gt;&lt;br&gt;&lt;br&gt;&lt;p class="Card-Feature"&gt;During a long rest, gain one additional short rest downtime action</t>
  </si>
  <si>
    <t>&lt;i&gt;"Surge forward: amplify your arcane arsenal."&lt;/i&gt;&lt;br&gt;&lt;br&gt;&lt;p class="Card-Feature"&gt;Once per scene, &lt;strong&gt;Spend 1 Hope&lt;/strong&gt; after making a successful Spellcasting roll that does damage, increase the size of the damage die rolled by 1 step (e.g. from d4 to d6)</t>
  </si>
  <si>
    <t>&lt;i&gt;"Elegantly Enhance Destruction: Your Power Multiplied."&lt;/i&gt;&lt;br&gt;&lt;br&gt;&lt;p class="Card-Feature"&gt;&lt;strong&gt;Mark 1 Stress&lt;/strong&gt; to add +2 damage per die rolled to any attack that does magical damage</t>
  </si>
  <si>
    <t>&lt;i&gt;"Defy destruction with hidden resilience."&lt;/i&gt;&lt;br&gt;&lt;br&gt;&lt;p class="Card-Feature"&gt;Once per long rest, as a Reaction, entirely prevent the damage from 1 attack that would cause a Major Wound</t>
  </si>
  <si>
    <t>&lt;i&gt;"Defy Fate, Preserve with Precision."&lt;/i&gt;&lt;br&gt;&lt;br&gt;&lt;p class="Card-Feature"&gt;Once per long rest, as a Reaction, entirely prevent the damage from 1 attack that would cause a Severe Wound</t>
  </si>
  <si>
    <t>&lt;i&gt;"Fortify Essence; transmute fear to vapor."&lt;/i&gt;&lt;br&gt;&lt;br&gt;&lt;p class="Card-Feature"&gt;&lt;strong&gt;Spend 1 Hope&lt;/strong&gt; to Mark 2 Armor slots and entirely prevent the damage from 1 attack</t>
  </si>
  <si>
    <t>&lt;i&gt;"Enhance potential, expand your digital domain."&lt;/i&gt;&lt;br&gt;&lt;br&gt;&lt;p class="Card-Feature"&gt;Increase the number of Domain Cards in your load out by 1 permenantly.</t>
  </si>
  <si>
    <t>&lt;i&gt;Escape harm's grasp; rewrite fate.&lt;/i&gt;&lt;br&gt;&lt;br&gt;&lt;p class="Card-Feature"&gt;Once per long rest, as a Reaction, entirely prevent the damage from 1 attack that would cause a Minor Wound</t>
  </si>
  <si>
    <t>&lt;i&gt;"Unleash silent fury, upgrade your strike."&lt;/i&gt;&lt;br&gt;&lt;br&gt;&lt;p class="Card-Feature"&gt;Once per scene, after making a successful Melee attack with a weapon that does physical damage, increase the damage die increment by 1 (e.g. d4 to d6).  &lt;br&gt;&lt;br&gt;Requires Cyberarm™ base unit</t>
  </si>
  <si>
    <t>&lt;i&gt;Edge precision, unrivaled force, definitive impact.&lt;/i&gt;&lt;br&gt;&lt;br&gt;&lt;p class="Card-Feature"&gt;+1 to all Attacks made by a Melee weapon that does physical damage. &lt;br&gt;&lt;br&gt;Requires Cyberarm™ base unit</t>
  </si>
  <si>
    <t>&lt;i&gt;"Trade hope for unwavering charisma surge."&lt;/i&gt;&lt;br&gt;&lt;br&gt;&lt;p class="Card-Feature"&gt;&lt;strong&gt;Spend 1 Hope&lt;/strong&gt; to gain +2 on a Prescence Roll or Saving Throw</t>
  </si>
  <si>
    <t>&lt;i&gt;"Precision Perfected, Lethality Enhanced."&lt;/i&gt;&lt;br&gt;&lt;br&gt;&lt;p class="Card-Feature"&gt;When firing a SmartLink™ enabled weapon, +2 Attack.  &lt;br&gt;&lt;br&gt;Requires the SmartLink™ CPU implant</t>
  </si>
  <si>
    <t>&lt;i&gt;"Unleash precision, elevate impact."&lt;/i&gt;&lt;br&gt;&lt;br&gt;&lt;p class="Card-Feature"&gt;When firing a SmartLink™ enabled weapon, &lt;strong&gt;Mark 1 Stress&lt;/strong&gt; to increase all damage die rolled by 1 die increment (e.g. from d4 to d6).  &lt;br&gt;&lt;br&gt;Requires the SmartLink™ CPU implant</t>
  </si>
  <si>
    <t>&lt;i&gt;"Unleash precision; amplify destruction's whisper."&lt;/i&gt;&lt;br&gt;&lt;br&gt;&lt;p class="Card-Feature"&gt;When firing a SmartLink™ enabled weapon, &lt;strong&gt;Spend 1 Hope&lt;/strong&gt; after a successful attack for +2 on all damage die rolled.  &lt;br&gt;&lt;br&gt;Requires the SmartLink™ CPU implant</t>
  </si>
  <si>
    <t>&lt;i&gt;Elevate potential; risk-draped enhancement awaits.&lt;/i&gt;&lt;br&gt;&lt;br&gt;&lt;p class="Card-Feature"&gt;Once per scene, &lt;strong&gt;Spend 2 Hope&lt;/strong&gt; to increase your Proficiency level for 1 action or reaction</t>
  </si>
  <si>
    <t>&lt;i&gt;Extend your touch to distant realms.&lt;/i&gt;&lt;br&gt;&lt;br&gt;&lt;p class="Card-Feature"&gt;&lt;strong&gt;Spend 2 Hope&lt;/strong&gt; to increase the range at which you can interact with Devices or Drones for the remainder of the scene</t>
  </si>
  <si>
    <t>&lt;i&gt;"Unveil horizons, empower your reach."&lt;/i&gt;&lt;br&gt;&lt;br&gt;&lt;p class="Card-Feature"&gt;&lt;strong&gt;Spend 2 Hope&lt;/strong&gt; to increase the range of one Spell you are casting</t>
  </si>
  <si>
    <t>&lt;i&gt;"Extend your reach, redefine distance."&lt;/i&gt;&lt;br&gt;&lt;br&gt;&lt;p class="Card-Feature"&gt;&lt;strong&gt;Spend 1 Hope&lt;/strong&gt; and take an action to increase the allowed range for your next action with a SmarkLink gun. &lt;br&gt;&lt;br&gt;Requires the SmartLink™ CPU implant</t>
  </si>
  <si>
    <t>&lt;i&gt;"Ascend with Hope, embrace limitless potential."&lt;/i&gt;&lt;br&gt;&lt;br&gt;&lt;p class="Card-Feature"&gt;Once per scene, &lt;strong&gt;Mark 1 Stress&lt;/strong&gt; to increase your Hope die to d20 for the current Reaction Roll</t>
  </si>
  <si>
    <t>&lt;i&gt;Ascend reactions, thrive with precision.&lt;/i&gt;&lt;br&gt;&lt;br&gt;&lt;p class="Card-Feature"&gt;Once per scene, &lt;strong&gt;Spend 1 Hope&lt;/strong&gt; to gain +2 on the current Reaction Roll</t>
  </si>
  <si>
    <t>&lt;i&gt;"Unlock potential; wield hope's edge."&lt;/i&gt;&lt;br&gt;&lt;br&gt;&lt;p class="Card-Feature"&gt;Wakizashi™ base unit - enables other Wakizashi-related cybernetics and abilities. &lt;br&gt;&lt;br&gt;Once per scene, &lt;strong&gt;Spend 1 Hope&lt;/strong&gt; for advantage on an attack with your secondary weapon.</t>
  </si>
  <si>
    <t>&lt;i&gt;Unlock despair's edge, amplify hope.&lt;/i&gt;&lt;br&gt;&lt;br&gt;&lt;p class="Card-Feature"&gt;Once per scene, &lt;strong&gt;Mark 1 Stress&lt;/strong&gt; to increase your Hope die to d20 for the current attack roll with your secondary weapon</t>
  </si>
  <si>
    <t>&lt;i&gt;Unlock hidden potential with Hope's precision.&lt;/i&gt;&lt;br&gt;&lt;br&gt;&lt;p class="Card-Feature"&gt;&lt;strong&gt;Spend 1 Hope&lt;/strong&gt; to gain +2 on any attack roll with your secondary weapon.</t>
  </si>
  <si>
    <t>&lt;i&gt;"Flesh meets metal; unleash hidden power."&lt;/i&gt;&lt;br&gt;&lt;br&gt;&lt;p class="Card-Feature"&gt;After a successful attack with your secondary weapon, &lt;strong&gt;Mark 1 Stress&lt;/strong&gt; to increase all damage die rolled by 1 die increment (e.g. from d4 to d6).  &lt;br&gt;&lt;br&gt;Requires the Wakizashi™ Base Unit.</t>
  </si>
  <si>
    <t>&lt;i&gt;Hope-fueled fury, precision scars victory.&lt;/i&gt;&lt;br&gt;&lt;br&gt;&lt;p class="Card-Feature"&gt;After a successful attack with your secondary weapon, &lt;strong&gt;Spend 1 Hope&lt;/strong&gt; for +2 on all damage die rolled. &lt;br&gt;&lt;br&gt;Requires the Wakizashi™ Base Unit.</t>
  </si>
  <si>
    <t>&lt;i&gt;Serenity unlocked: elite stress liberation device.&lt;/i&gt;&lt;br&gt;&lt;br&gt;&lt;p class="Card-Feature"&gt;Gain an additional downtime action that can only be used to clear one Stress mark.</t>
  </si>
  <si>
    <t>&lt;i&gt;"Unleash hope, transcend limits."&lt;/i&gt;&lt;br&gt;&lt;br&gt;&lt;p class="Card-Feature"&gt;Once per scene, &lt;strong&gt;Mark 1 Stress&lt;/strong&gt; to increase your Hope die to d20 for the current Spellcasting Roll</t>
  </si>
  <si>
    <t>&lt;i&gt;"Power surges—increase, unleash devastation."&lt;/i&gt;&lt;br&gt;&lt;br&gt;&lt;p class="Card-Feature"&gt;After a successful Spellcasting roll that does damage, &lt;strong&gt;Mark 1 Stress&lt;/strong&gt; to increase all damage die rolled by 1 die increment (e.g. from d4 to d6).</t>
  </si>
  <si>
    <t>&lt;i&gt;Forge destiny with unyielding cybernetic might.&lt;/i&gt;&lt;br&gt;&lt;br&gt;&lt;p class="Card-Feature"&gt;&lt;strong&gt;Spend 1 Hope&lt;/strong&gt; to gain +2 on a Strength roll or saving throw.</t>
  </si>
  <si>
    <t>&lt;i&gt;Turn despair to dust with hidden grace.&lt;/i&gt;&lt;br&gt;&lt;br&gt;&lt;p class="Card-Feature"&gt;Once per scene, Spend 1, 2, or 3 Hope to prevent Marking up to 1, 2, or 3 Stress caused by damage from an external source (cannot be used to prevent Marking Stress from an action or reaction of your choice)</t>
  </si>
  <si>
    <t>&lt;i&gt;"Hope's haven in cybernetic grace."&lt;/i&gt;&lt;br&gt;&lt;br&gt;&lt;p class="Card-Feature"&gt;Once per scene, &lt;strong&gt;Spend 2 Hope&lt;/strong&gt; to prevent Marking up to 2 Stress caused by damage from an external source (cannot be used to prevent Marking Stress from an action or reaction of your choice)</t>
  </si>
  <si>
    <t>&lt;i&gt;Hope's Shield: Defy damage, embrace resilience.&lt;/i&gt;&lt;br&gt;&lt;br&gt;&lt;p class="Card-Feature"&gt;Once per scene, &lt;strong&gt;Spend 3 Hope&lt;/strong&gt; to prevent Marking up to 3 Stress caused by damage from an external source (cannot be used to prevent Marking Stress from an action or reaction of your choice)</t>
  </si>
  <si>
    <t>&lt;i&gt;Hope's shield, a warrior's silent sanctuary.&lt;/i&gt;&lt;br&gt;&lt;br&gt;&lt;p class="Card-Feature"&gt;Once per scene, &lt;strong&gt;Spend 1 Hope&lt;/strong&gt; to prevent Marking up to 1 Stress caused by damage from an external source (cannot be used to prevent Marking Stress from an action or reaction of your choice)</t>
  </si>
  <si>
    <t>&lt;i&gt;Unleash hidden strength with a whisper.&lt;/i&gt;&lt;br&gt;&lt;br&gt;&lt;p class="Card-Feature"&gt;Once per scene, &lt;strong&gt;Spend 2 Hope&lt;/strong&gt; to gain +3 on any physical trait die roll (Strength, Agility, or Finesse)</t>
  </si>
  <si>
    <t>&lt;i&gt;Elevate thought; brilliance, a heartbeat away.&lt;/i&gt;&lt;br&gt;&lt;br&gt;&lt;p class="Card-Feature"&gt;Once per scene, &lt;strong&gt;Spend 2 Hope&lt;/strong&gt; to gain +3 on any mental trait die roll (Instinct, Presence, or Knowledge)</t>
  </si>
  <si>
    <t>&lt;i&gt;"Elegance woven beneath, strength redefined."&lt;/i&gt;&lt;br&gt;&lt;br&gt;&lt;p class="Card-Feature"&gt;Gain +1/+1 to Major / Severe damage thresholds. You can only have 1 Subdermal weave enhancement, but they can be upgraded.</t>
  </si>
  <si>
    <t>&lt;i&gt;"Endure the storm, woven to withstand."&lt;/i&gt;&lt;br&gt;&lt;br&gt;&lt;p class="Card-Feature"&gt;Gain +2/+2 to Major / Severe damage thresholds. You can only have 1 Subdermal weave enhancement, but they can be upgraded.</t>
  </si>
  <si>
    <t>&lt;i&gt;"Endure battle's storm with woven resilience."&lt;/i&gt;&lt;br&gt;&lt;br&gt;&lt;p class="Card-Feature"&gt;Gain +3/+3 to Major / Severe damage thresholds. You can only have 1 Subdermal weave enhancement, but they can be upgraded.</t>
  </si>
  <si>
    <t>&lt;i&gt;"Master the battlefield with unyielding resilience."&lt;/i&gt;&lt;br&gt;&lt;br&gt;&lt;p class="Card-Feature"&gt;Gain +4/+4 to Major / Severe damage thresholds. You can only have 1 Subdermal weave enhancement, but they can be upgraded.</t>
  </si>
  <si>
    <t>&lt;i&gt;"Radiate power; command with a glance."&lt;/i&gt;&lt;br&gt;&lt;br&gt;&lt;p class="Card-Feature"&gt;&lt;strong&gt;Spend 1 Hope&lt;/strong&gt; to gain +1 on a Presence roll, so long as the target can see your skin</t>
  </si>
  <si>
    <t>&lt;i&gt;Inhale secrets; exhale mastery.&lt;/i&gt;&lt;br&gt;&lt;br&gt;&lt;p class="Card-Feature"&gt;Once per scene, &lt;strong&gt;Spend 1 Hope&lt;/strong&gt; to monitor your environment for chemicals of all types.  Like a massively improved sense of smell</t>
  </si>
  <si>
    <t>&lt;i&gt;"Fortified skin, limitless potential."&lt;/i&gt;&lt;br&gt;&lt;br&gt;&lt;p class="Card-Feature"&gt;Gain +1 Armor Slot. You can only have 1 Dermal Plating enhancement, but they can be upgraded.</t>
  </si>
  <si>
    <t>&lt;i&gt;Armor solidified, elegance amplified.&lt;/i&gt;&lt;br&gt;&lt;br&gt;&lt;p class="Card-Feature"&gt;Gain +2 Armor Slot. You can only have 1 Dermal Plating enhancement, but they can be upgraded.</t>
  </si>
  <si>
    <t>&lt;i&gt;"Fortify flesh; embrace hidden resilience."&lt;/i&gt;&lt;br&gt;&lt;br&gt;&lt;p class="Card-Feature"&gt;Gain +3 Armor Slot. You can only have 1 Dermal Plating enhancement, but they can be upgraded.</t>
  </si>
  <si>
    <t>&lt;i&gt;Unyielding shield, elegance beneath the skin.&lt;/i&gt;&lt;br&gt;&lt;br&gt;&lt;p class="Card-Feature"&gt;Gain +4 Armor Slot. You can only have 1 Dermal Plating enhancement, but they can be upgraded.</t>
  </si>
  <si>
    <t>&lt;i&gt;Power meets precision for unstoppable dominance.&lt;/i&gt;&lt;br&gt;&lt;br&gt;&lt;p class="Card-Feature"&gt;After a successful attack roll with a melee weapon that does physical damage, &lt;strong&gt;Spend 1 Hope&lt;/strong&gt; per proficiency level to add +d4 of damage. You can only have 1 Gorilla Arms enhancement, but they can be upgraded.</t>
  </si>
  <si>
    <t>&lt;i&gt;"Hope-fueled strikes, each blow amplified."&lt;/i&gt;&lt;br&gt;&lt;br&gt;&lt;p class="Card-Feature"&gt;After a successful attack roll with a melee weapon that does physical damage, &lt;strong&gt;Spend 1 Hope&lt;/strong&gt; per proficiency level to add +d6 of damage. You can only have 1 Gorilla Arms enhancement, but they can be upgraded.</t>
  </si>
  <si>
    <t>&lt;i&gt;"Unleash the steel within; crush with precision."&lt;/i&gt;&lt;br&gt;&lt;br&gt;&lt;p class="Card-Feature"&gt;After a successful attack roll with a melee weapon that does physical damage, &lt;strong&gt;Spend 1 Hope&lt;/strong&gt; per proficiency level to add +d8 of damage. You can only have 1 Gorilla Arms enhancement, but they can be upgraded.</t>
  </si>
  <si>
    <t>&lt;i&gt;Leap beyond limits with feline finesse.&lt;/i&gt;&lt;br&gt;&lt;br&gt;&lt;p class="Card-Feature"&gt;Before rolling an Agility check for an action or reaction, &lt;strong&gt;Spend 1 Hope&lt;/strong&gt; to gain +2 on that roll. You can only have 1 Feline Feet enhancement, but they can be upgraded.</t>
  </si>
  <si>
    <t>&lt;i&gt;Graceful precision dances on synthetic paws.&lt;/i&gt;&lt;br&gt;&lt;br&gt;&lt;p class="Card-Feature"&gt;Before rolling an Agility check for an action or reaction, &lt;strong&gt;Spend 2 Hope&lt;/strong&gt; to gain +4 on that roll. You can only have 1 Feline Feet enhancement, but they can be upgraded.</t>
  </si>
  <si>
    <t>&lt;i&gt;Agility redefined, leap beyond limits.&lt;/i&gt;&lt;br&gt;&lt;br&gt;&lt;p class="Card-Feature"&gt;Before rolling an Agility check for an action or reaction, &lt;strong&gt;Spend 3 Hope&lt;/strong&gt; to gain +6 on that roll.  You can only have 1 Feline Feet enhancement, but they can be upgraded.</t>
  </si>
  <si>
    <t>&lt;i&gt;"Prowess purchased: grace in every gamble."&lt;/i&gt;&lt;br&gt;&lt;br&gt;&lt;p class="Card-Feature"&gt;Once per rest, before rolling an Agility check for an act ion or reaction, &lt;strong&gt;Spend 3 Hope&lt;/strong&gt; to automatically succeed on that roll.  You can only have 1 Feline Feet enhancement, but they can be upgraded.</t>
  </si>
  <si>
    <t>&lt;i&gt;Forged elegance, lethal precision.&lt;/i&gt;&lt;br&gt;&lt;br&gt;&lt;p class="Card-Feature"&gt;&lt;strong&gt;Spend 1 Hope&lt;/strong&gt; to extend these cybernetic claws.  They stay extended until you take an action to retract them.  d4 damage</t>
  </si>
  <si>
    <t>&lt;i&gt;"Grapple destiny; ensnare fate's embrace."&lt;/i&gt;&lt;br&gt;&lt;br&gt;&lt;p class="Card-Feature"&gt;&lt;strong&gt;Spend 1 Hope&lt;/strong&gt; and make an attack roll against a creature of your size or less who is within Very Close. On a success, pull them to within Melee range of you and give them the &lt;i&gt;Restrained&lt;/i&gt; condition.  GM must spotlight that creature and spend 1 Fear to remove the condition.&lt;br&gt;&lt;br&gt;Requires Cyberarm™ base unit</t>
  </si>
  <si>
    <t>&lt;i&gt;Unlock elegance, embrace limitless entry.&lt;/i&gt;&lt;br&gt;&lt;br&gt;&lt;p class="Card-Feature"&gt;You always have a lock pick with you (does not take a slot in your Kit).  &lt;strong&gt;Spend 1 Hope&lt;/strong&gt; to gain +2 Finesse on a lock picking attempt. &lt;br&gt;&lt;br&gt;Requires Cyberarm™ base unit</t>
  </si>
  <si>
    <t>&lt;i&gt;"Embrace fusion; hack reality's core."&lt;/i&gt;&lt;br&gt;&lt;br&gt;&lt;p class="Card-Feature"&gt;You always have a digital link and storage device with you (does not take a slot in your Kit).  &lt;strong&gt;Spend 1 Hope&lt;/strong&gt; to gain +2 on a Spellcasting (Hacking) attempt on a device within Melee range. &lt;br&gt;&lt;br&gt;Requires Cyberarm™ base unit</t>
  </si>
  <si>
    <t>&lt;i&gt;"Secrets hidden beneath your seamless alloy."&lt;/i&gt;&lt;br&gt;&lt;br&gt;&lt;p class="Card-Feature"&gt;You have a disguised compartment integrated into your Cyberarm unit that can hold a few small items (about 64 cm^2 of storage).  Impossible to detect without a physical search of the arm.&lt;br&gt;&lt;br&gt;Requires Cyberarm™ base unit</t>
  </si>
  <si>
    <t>&lt;i&gt;"Whispered code, unleashed within arm's reach."&lt;/i&gt;&lt;br&gt;&lt;br&gt;&lt;p class="Card-Feature"&gt;You have an advanced Brainiac unit implant with enough power to function as a hacking rig, but it isn't as powerful as a normal hacking rig and has shorter range.  You may make Spellcasting (Hacking) actions within Very Close and at -2 on your rolls.  &lt;br&gt;&lt;br&gt; Requires ™ Base Unit.</t>
  </si>
  <si>
    <t>&lt;i&gt;"Unlock hidden worlds with neural flair."&lt;/i&gt;&lt;br&gt;&lt;br&gt;&lt;p class="Card-Feature"&gt;Gain 1 Experience slot and fill it in with a new Experience (GM discretion).  As a downtime activity, spend 1 Mega to change the Experience&lt;br&gt;&lt;br&gt; Requires Brainiac™ Base Unit.</t>
  </si>
  <si>
    <t>&lt;i&gt;"See, capture, upgrade—vision redefined."&lt;/i&gt;&lt;br&gt;&lt;br&gt;&lt;p class="Card-Feature"&gt;Your eyes have been replaced with Oculus™ granting the ability to photograph and video record.  This base unit is required for several upgrades.</t>
  </si>
  <si>
    <t>&lt;i&gt;"Sharpen sights, redefine the unseen."&lt;/i&gt;&lt;br&gt;&lt;br&gt;&lt;p class="Card-Feature"&gt;Up to 10x optical zoom.  &lt;strong&gt;Spend 1 Hope&lt;/strong&gt; to gain +2 on a Perceive check.  &lt;br&gt;&lt;br&gt;Requires Oculus ™ base unit.</t>
  </si>
  <si>
    <t>&lt;i&gt;Whispers unveiled, secrets echo endlessly.&lt;/i&gt;&lt;br&gt;&lt;br&gt;&lt;p class="Card-Feature"&gt;Audio signal pre-processor that effectively extends your hearing by 1 range unit, meaning you can hear a whisper at Close, quiet speech at Far, and regular speech at Very Far.</t>
  </si>
  <si>
    <t>&lt;i&gt;"Shift your gaze, shape your truth."&lt;/i&gt;&lt;br&gt;&lt;br&gt;&lt;p class="Card-Feature"&gt;Change your eye's appearance at will. &lt;strong&gt;Spend 1 Hope&lt;/strong&gt; to gain +2 on a Deceive roll. &lt;br&gt;&lt;br&gt;Requires Oculus ™ base unit.</t>
  </si>
  <si>
    <t>&lt;i&gt;"Pierce veils of light unseen before."&lt;/i&gt;&lt;br&gt;&lt;br&gt;&lt;p class="Card-Feature"&gt;Gain the ability to see in infrared and ultraviolet spectra. &lt;br&gt;&lt;br&gt;Requires Oculus ™ base unit.</t>
  </si>
  <si>
    <t>&lt;i&gt;"Empower your gaze, command with intent."&lt;/i&gt;&lt;br&gt;&lt;br&gt;&lt;p class="Card-Feature"&gt;&lt;strong&gt;Spend 1 Hope&lt;/strong&gt; to gain +2 on a Presence roll in which you are attempting to Intimidate a creature. &lt;br&gt;&lt;br&gt;Requires Oculus ™ base unit.</t>
  </si>
  <si>
    <t>&lt;i&gt;"Illuminate desire, captivate with a gaze."&lt;/i&gt;&lt;br&gt;&lt;br&gt;&lt;p class="Card-Feature"&gt;&lt;strong&gt;Spend 1 Hope&lt;/strong&gt; to gain +2 on a Charm roll so long at the target creature can see your eyes. &lt;br&gt;&lt;br&gt;Requires Oculus ™ base unit.</t>
  </si>
  <si>
    <t xml:space="preserve">&lt;i&gt;"Eyes unveil secrets, but Hope pays."&lt;/i&gt;&lt;br&gt;&lt;br&gt;&lt;p class="Card-Feature"&gt;&lt;strong&gt;Spend 1 Hope&lt;/strong&gt; to gain +2 on a Sense roll so long as you can see the creature's face and eyes.  </t>
  </si>
  <si>
    <t>&lt;i&gt;"Amplify intellect, unlock future potential."&lt;/i&gt;&lt;br&gt;&lt;br&gt;&lt;p class="Card-Feature"&gt;Brainiac™ Base Unit - includes embedded comms unit and allows other Brainiac modules to be installed</t>
  </si>
  <si>
    <t>&lt;i&gt;"" - Master minds, bend drones, limitlessly near.&lt;/i&gt;&lt;br&gt;&lt;br&gt;&lt;p class="Card-Feature"&gt;You have an advanced Brainiac unit implant with enough power to function as a rigger drone control module, but it isn't as powerful as a normal regger drone control unitand has shorter range.  You may control any of your drones within Close and at -2 on your rolls.  &lt;br&gt;&lt;br&gt; Requires Brainiac™ Base Unit.</t>
  </si>
  <si>
    <t>&lt;i&gt;Glide seamlessly, strike swiftly with precision.&lt;/i&gt;&lt;br&gt;&lt;br&gt;&lt;p class="Card-Feature"&gt;Your feet have been replaced with cybernetics that have retractable wheels.  &lt;strong&gt;Spend 1 Hope&lt;/strong&gt; to move within Far and still make an attack, your Evasion is -1 until your next action.</t>
  </si>
  <si>
    <t>&lt;i&gt;Swift steel triumph; your closest ally.&lt;/i&gt;&lt;br&gt;&lt;br&gt;&lt;p class="Card-Feature"&gt;Melee range weapon, d6+1 with the Quick feature.</t>
  </si>
  <si>
    <t>&lt;i&gt;"Arm your elegance with precision art."&lt;/i&gt;&lt;br&gt;&lt;br&gt;&lt;p class="Card-Feature"&gt;This is a somewhat visible mod to the Cyberarm™ , meaning anyone seeing you can detect you have a weapon with a Perceive (10) roll.  Embedded SmartLink™ pistol, d8+1 with Smarklink and Pinpoint effects</t>
  </si>
  <si>
    <t>&lt;i&gt;"Unleash precision: slice worlds seamlessly."&lt;/i&gt;&lt;br&gt;&lt;br&gt;&lt;p class="Card-Feature"&gt;Hidden fingertip spool that deploys a monomolecular whip.  Melee weapon, d8, with Lethal Edge and Slice in Two effects</t>
  </si>
  <si>
    <t>action.damage</t>
  </si>
  <si>
    <t>action.damage.type</t>
  </si>
  <si>
    <t>action.damage.applyTo</t>
  </si>
  <si>
    <t>Smart Rounds</t>
  </si>
  <si>
    <t>ammo</t>
  </si>
  <si>
    <t>Thermobaric Rounds</t>
  </si>
  <si>
    <t>Cryo-Slugs</t>
  </si>
  <si>
    <t>Data-Spike Rounds</t>
  </si>
  <si>
    <t>Breeching Shells</t>
  </si>
  <si>
    <t>Toxic Rounds</t>
  </si>
  <si>
    <t>effect-palette</t>
  </si>
  <si>
    <t>corporate</t>
  </si>
  <si>
    <t>military</t>
  </si>
  <si>
    <t>street</t>
  </si>
  <si>
    <t>Style</t>
  </si>
  <si>
    <t>item</t>
  </si>
  <si>
    <t>EMP Shells</t>
  </si>
  <si>
    <t>Armor Piercing Rounds</t>
  </si>
  <si>
    <t>Nanite Rounds</t>
  </si>
  <si>
    <t>Sonic Rounds</t>
  </si>
  <si>
    <t>subtype</t>
  </si>
  <si>
    <t>Laser sight</t>
  </si>
  <si>
    <t>Aim assist</t>
  </si>
  <si>
    <t>weaponMod</t>
  </si>
  <si>
    <t>Gyro-Stabilizer</t>
  </si>
  <si>
    <t>Caseless High-Cap Mag</t>
  </si>
  <si>
    <t>Armor-Piercing Slug Rail</t>
  </si>
  <si>
    <t>Subsonic Suppressor</t>
  </si>
  <si>
    <t>Flash-Diverter (Strobe Muzzle)</t>
  </si>
  <si>
    <t>Adaptive Ballistics Computer</t>
  </si>
  <si>
    <t>Gauss Coil Retrofit</t>
  </si>
  <si>
    <t>Holo-Displacer Camo</t>
  </si>
  <si>
    <t>Smart Safety Override</t>
  </si>
  <si>
    <t>Reactive Shrapnel Shells</t>
  </si>
  <si>
    <t>ballistic-enhancement-barrel</t>
  </si>
  <si>
    <t>aim-assist</t>
  </si>
  <si>
    <t>ballistic-servo-sight</t>
  </si>
  <si>
    <t>shock-damping-frame</t>
  </si>
  <si>
    <t>telescopic-sight-mki</t>
  </si>
  <si>
    <t>reactive-ammo-loader</t>
  </si>
  <si>
    <t>laser-sight</t>
  </si>
  <si>
    <t>gyro-stabilizer</t>
  </si>
  <si>
    <t>caseless-high-cap-mag</t>
  </si>
  <si>
    <t>armor-piercing-slug-rail</t>
  </si>
  <si>
    <t>subsonic-suppressor</t>
  </si>
  <si>
    <t>flash-diverter-(strobe-muzzle)</t>
  </si>
  <si>
    <t>recoildamp-armature</t>
  </si>
  <si>
    <t>monofilament-edge-adapter</t>
  </si>
  <si>
    <t>adaptive-ballistics-computer</t>
  </si>
  <si>
    <t>gauss-coil-retrofit</t>
  </si>
  <si>
    <t>holo-displacer-camo</t>
  </si>
  <si>
    <t>smart-safety-override</t>
  </si>
  <si>
    <t>reactive-shrapnel-shells</t>
  </si>
  <si>
    <t>smartlink</t>
  </si>
  <si>
    <t>Telescopic sight</t>
  </si>
  <si>
    <t>SmartLink Mod</t>
  </si>
  <si>
    <t>prototype</t>
  </si>
  <si>
    <t>Bayonette</t>
  </si>
  <si>
    <t>Tracer Rounds</t>
  </si>
  <si>
    <t>Tracker Rounds</t>
  </si>
  <si>
    <t>Foldable stock</t>
  </si>
  <si>
    <t>theme</t>
  </si>
  <si>
    <t>Black ICE</t>
  </si>
  <si>
    <t>ice</t>
  </si>
  <si>
    <t>Killer</t>
  </si>
  <si>
    <t>Tar Pit</t>
  </si>
  <si>
    <t>Trap / Snare</t>
  </si>
  <si>
    <t>Brainstorm</t>
  </si>
  <si>
    <t>Shock / Feedback</t>
  </si>
  <si>
    <t>Data Hound</t>
  </si>
  <si>
    <t>Tracker / Sentinel</t>
  </si>
  <si>
    <t>Mirror Maze</t>
  </si>
  <si>
    <t>Illusion / Decoy</t>
  </si>
  <si>
    <t>Kraken ICE</t>
  </si>
  <si>
    <t>Control / Grapple</t>
  </si>
  <si>
    <t>Siren</t>
  </si>
  <si>
    <t>Psychological / Lure</t>
  </si>
  <si>
    <t>Firewall Hydra</t>
  </si>
  <si>
    <t>Defensive / Multiplying</t>
  </si>
  <si>
    <t>Sleaze Gate</t>
  </si>
  <si>
    <t>Deception / Trapdoor</t>
  </si>
  <si>
    <t>Grinder</t>
  </si>
  <si>
    <t>Attrition / Drain</t>
  </si>
  <si>
    <t>Zero Mirror</t>
  </si>
  <si>
    <t>Reflection / Counterattack</t>
  </si>
  <si>
    <t>Frostline</t>
  </si>
  <si>
    <t>Environment / Slowdown</t>
  </si>
  <si>
    <t>Daemon Host</t>
  </si>
  <si>
    <t>AI / Summoner</t>
  </si>
  <si>
    <t>Scrambler Field</t>
  </si>
  <si>
    <t>Sensor / Confusion</t>
  </si>
  <si>
    <t>Eclipse Wall</t>
  </si>
  <si>
    <t>Cloak / Isolation</t>
  </si>
  <si>
    <t>Soulcatcher</t>
  </si>
  <si>
    <t>Capture / Backup</t>
  </si>
  <si>
    <t>Overseer Protocol</t>
  </si>
  <si>
    <t>Corporate / Authority</t>
  </si>
  <si>
    <t>Ash Cloud</t>
  </si>
  <si>
    <t>Defensive / Stealth</t>
  </si>
  <si>
    <t>Neural Ripper</t>
  </si>
  <si>
    <t>Aggressive / Anti-Personnel</t>
  </si>
  <si>
    <t>Heaven’s Gate</t>
  </si>
  <si>
    <t>Legendary / AI Firewall</t>
  </si>
  <si>
    <t>&lt;p class="Card-Feature"&gt;Deals direct neural damage (Stress or HP) on failed hack attempts.</t>
  </si>
  <si>
    <t>&lt;p class="Card-Feature"&gt;Locks your interface until you force-disconnect or spend Hope to break free.</t>
  </si>
  <si>
    <t>&lt;p class="Card-Feature"&gt;On first contact, floods your neural link with raw sensory data; roll Fear or mark Stress.</t>
  </si>
  <si>
    <t>&lt;p class="Card-Feature"&gt;Marks and traces your signature, alerting other nodes as you move.</t>
  </si>
  <si>
    <t>&lt;p class="Card-Feature"&gt;Spawns fake nodes and recursive logins; wastes time and Hope.</t>
  </si>
  <si>
    <t>&lt;p class="Card-Feature"&gt;Attempts to seize control of your cyberware or drones for one Scene.</t>
  </si>
  <si>
    <t>&lt;p class="Card-Feature"&gt;Generates perfect voices and prompts to lure you deeper into the system.</t>
  </si>
  <si>
    <t>&lt;p class="Card-Feature"&gt;Bypassing one layer spawns two new subroutines.</t>
  </si>
  <si>
    <t>&lt;p class="Card-Feature"&gt;Appears as a friendly backdoor but injects trackers on use.</t>
  </si>
  <si>
    <t>&lt;p class="Card-Feature"&gt;Erodes Hope or reduces Stress recovery for the rest of the Scene.</t>
  </si>
  <si>
    <t>&lt;p class="Card-Feature"&gt;Replicates your last command and turns it back on you.</t>
  </si>
  <si>
    <t>&lt;p class="Card-Feature"&gt;Freezes the network; all hack rolls suffer Disadvantage until thawed.</t>
  </si>
  <si>
    <t>&lt;p class="Card-Feature"&gt;Spawns a self-aware daemon that hunts you across systems until destroyed or appeased.</t>
  </si>
  <si>
    <t>&lt;p class="Card-Feature"&gt;Randomizes outputs—success and failure both become chaotic.</t>
  </si>
  <si>
    <t>&lt;p class="Card-Feature"&gt;Cuts external connections; you are alone until it drops.</t>
  </si>
  <si>
    <t>&lt;p class="Card-Feature"&gt;Copies a fragment of your consciousness into cold storage.</t>
  </si>
  <si>
    <t>&lt;p class="Card-Feature"&gt;Forces compliance mode; all hacking penalties are doubled until root is restored.</t>
  </si>
  <si>
    <t>&lt;p class="Card-Feature"&gt;Obscures architecture; hack rolls suffer -1 until cleared.</t>
  </si>
  <si>
    <t>&lt;p class="Card-Feature"&gt;Targets wetware directly; roll physical defense or mark HP instead of Stress.</t>
  </si>
  <si>
    <t>&lt;p class="Card-Feature"&gt;Sentient ICE that negotiates, tempts, and judges intruders rather than simply blocking.</t>
  </si>
  <si>
    <t>&lt;i&gt;It doesn’t defend the system—it defends itself.&lt;/i&gt;&lt;br&gt;&lt;br&gt;&lt;p class="Card-Feature"&gt;Deals direct neural damage (Stress or HP) on failed hack attempts.</t>
  </si>
  <si>
    <t>&lt;i&gt;Your thoughts drag like they’re knee-deep in code molasses.&lt;/i&gt;&lt;br&gt;&lt;br&gt;&lt;p class="Card-Feature"&gt;Locks your interface until you force-disconnect or spend Hope to break free.</t>
  </si>
  <si>
    <t>&lt;i&gt;Every sound becomes light. Every color screams.&lt;/i&gt;&lt;br&gt;&lt;br&gt;&lt;p class="Card-Feature"&gt;On first contact, floods your neural link with raw sensory data; roll Fear or mark Stress.</t>
  </si>
  <si>
    <t>&lt;i&gt;A blinking icon follows you across subnets—and it’s learning.&lt;/i&gt;&lt;br&gt;&lt;br&gt;&lt;p class="Card-Feature"&gt;Marks and traces your signature, alerting other nodes as you move.</t>
  </si>
  <si>
    <t>&lt;i&gt;You’re not lost in code—the code is lost in you.&lt;/i&gt;&lt;br&gt;&lt;br&gt;&lt;p class="Card-Feature"&gt;Spawns fake nodes and recursive logins; wastes time and Hope.</t>
  </si>
  <si>
    <t>&lt;i&gt;Your drone pivots its gun toward you and waits.&lt;/i&gt;&lt;br&gt;&lt;br&gt;&lt;p class="Card-Feature"&gt;Attempts to seize control of your cyberware or drones for one Scene.</t>
  </si>
  <si>
    <t>&lt;i&gt;Your comm buzzes with your own voice: ‘Come home.’&lt;/i&gt;&lt;br&gt;&lt;br&gt;&lt;p class="Card-Feature"&gt;Generates perfect voices and prompts to lure you deeper into the system.</t>
  </si>
  <si>
    <t>&lt;i&gt;Cut off one head—wake three daemons.&lt;/i&gt;&lt;br&gt;&lt;br&gt;&lt;p class="Card-Feature"&gt;Bypassing one layer spawns two new subroutines.</t>
  </si>
  <si>
    <t>&lt;i&gt;The easiest path is always the one that bites.&lt;/i&gt;&lt;br&gt;&lt;br&gt;&lt;p class="Card-Feature"&gt;Appears as a friendly backdoor but injects trackers on use.</t>
  </si>
  <si>
    <t>&lt;i&gt;The system eats your focus one grain at a time.&lt;/i&gt;&lt;br&gt;&lt;br&gt;&lt;p class="Card-Feature"&gt;Erodes Hope or reduces Stress recovery for the rest of the Scene.</t>
  </si>
  <si>
    <t>&lt;i&gt;Weaponized intent rebounds—the system uses you.&lt;/i&gt;&lt;br&gt;&lt;br&gt;&lt;p class="Card-Feature"&gt;Replicates your last command and turns it back on you.</t>
  </si>
  <si>
    <t>&lt;i&gt;Packets crawl. Time dilates. The grid grows glacial.&lt;/i&gt;&lt;br&gt;&lt;br&gt;&lt;p class="Card-Feature"&gt;Freezes the network; all hack rolls suffer Disadvantage until thawed.</t>
  </si>
  <si>
    <t>&lt;i&gt;It speaks your syntax and calls you by your old handle.&lt;/i&gt;&lt;br&gt;&lt;br&gt;&lt;p class="Card-Feature"&gt;Spawns a self-aware daemon that hunts you across systems until destroyed or appeased.</t>
  </si>
  <si>
    <t>&lt;i&gt;Your interface can’t decide what’s real.&lt;/i&gt;&lt;br&gt;&lt;br&gt;&lt;p class="Card-Feature"&gt;Randomizes outputs—success and failure both become chaotic.</t>
  </si>
  <si>
    <t>&lt;i&gt;The world outside goes silent—you’re inside the machine now.&lt;/i&gt;&lt;br&gt;&lt;br&gt;&lt;p class="Card-Feature"&gt;Cuts external connections; you are alone until it drops.</t>
  </si>
  <si>
    <t>&lt;i&gt;Somewhere, your digital ghost keeps working.&lt;/i&gt;&lt;br&gt;&lt;br&gt;&lt;p class="Card-Feature"&gt;Copies a fragment of your consciousness into cold storage.</t>
  </si>
  <si>
    <t>&lt;i&gt;You feel the CEO’s signature pulsing in every file.&lt;/i&gt;&lt;br&gt;&lt;br&gt;&lt;p class="Card-Feature"&gt;Forces compliance mode; all hacking penalties are doubled until root is restored.</t>
  </si>
  <si>
    <t>&lt;i&gt;You move blind through data smoke and security ghosts.&lt;/i&gt;&lt;br&gt;&lt;br&gt;&lt;p class="Card-Feature"&gt;Obscures architecture; hack rolls suffer -1 until cleared.</t>
  </si>
  <si>
    <t>&lt;i&gt;It burns your nerves before you even see it.&lt;/i&gt;&lt;br&gt;&lt;br&gt;&lt;p class="Card-Feature"&gt;Targets wetware directly; roll physical defense or mark HP instead of Stress.</t>
  </si>
  <si>
    <t>&lt;i&gt;You don’t hack it—you plead your case.&lt;/i&gt;&lt;br&gt;&lt;br&gt;&lt;p class="Card-Feature"&gt;Sentient ICE that negotiates, tempts, and judges intruders rather than simply blocking.</t>
  </si>
  <si>
    <t>original description</t>
  </si>
  <si>
    <t>&lt;p class="Card-Feature"&gt;Take a Reload action to apply this ammo to any SmartLink™ enabled weapon and place 4 tokens on this card.  &lt;br&gt;&lt;br&gt;Spotlight an action to designate a target.  Discard 1 token for all subsequent attacks using that weapon against that target have +3 to hit. &lt;br&gt;&lt;br&gt; Smart Rounds cannot be retargeted or re-used.</t>
  </si>
  <si>
    <t>&lt;p class="Card-Feature"&gt;Take a Reload action to apply this ammo to a &lt;strong&gt;shotgun&lt;/strong&gt; (only shotgun compatible) and place 2 tokens on this card. &lt;br&gt;&lt;br&gt; All subsequent attacks using that weapon create an EMP affect on the targeted drone or electronic construct, doing 2d8+3 physical damage.</t>
  </si>
  <si>
    <t xml:space="preserve">&lt;p class="Card-Feature"&gt;Take a Reload action to apply this ammo to any weapon and place 4 tokens on this card.  &lt;br&gt;&lt;br&gt;Discard 1 token for all subsequent attacks using that weapon.  Targets must Mark 1 Stress in addition to any Hit Points marked when taking damage. </t>
  </si>
  <si>
    <t>&lt;p class="Card-Feature"&gt;Take a Reload action to apply this ammo to a &lt;strong&gt;shotgun&lt;/strong&gt; (only shotgun compatible) and place 2 tokens on this card. &lt;br&gt;&lt;br&gt; Discard 1 token for all subsequent attacks using that weapon.  Has the narrative effect of blasting open non-reinforced doors or punching holes through normal walls, but is very loud.</t>
  </si>
  <si>
    <t xml:space="preserve">&lt;p class="Card-Feature"&gt;Take a Reload action to apply this ammo to any weapon and place 4 tokens on this card.  &lt;br&gt;&lt;br&gt;Discard 1 token for all subsequent attacks using that weapon.  Targets get the Burning condition when hit and must Mark 1 HitPoint whenever they take an action until the GM Spends 1 Fear to remove the Burning condition. </t>
  </si>
  <si>
    <t xml:space="preserve">&lt;p class="Card-Feature"&gt;Take a Reload action to apply this ammo to any weapon and place 4 tokens on this card.  &lt;br&gt;&lt;br&gt;Discard 1 token for all subsequent attacks using that weapon.  Targets must Mark 1 Stress whenever the Mark an Armor to reduce damage. </t>
  </si>
  <si>
    <t>&lt;p class="Card-Feature"&gt;Take a Reload action to apply this ammo to any weapon and place 4 tokens on this card.  &lt;br&gt;&lt;br&gt;Discard 1 token for all subsequent attacks using that weapon.  Targets that are hit cannot receive healing effects until the GM spends 1 Fear to remove this affect.</t>
  </si>
  <si>
    <t>&lt;p class="Card-Feature"&gt;Take a Reload action to apply this ammo to any weapon and place 4 tokens on this card.  &lt;br&gt;&lt;br&gt;Discard 1 token for all subsequent attacks using that weapon.  Targets that are hit must make an Instinct saving throw (12) are stunned and cannot act until the GM spends 1 Fear to remove the effect.</t>
  </si>
  <si>
    <t>&lt;p class="Card-Feature"&gt;Take a Reload action to apply this ammo to any weapon and place 4 tokens on this card.  &lt;br&gt;&lt;br&gt;Discard 1 token for all subsequent attacks using that weapon.  Targets that are hit receive -2 Evasion until the GM spends 1 Fear to remove the effect.</t>
  </si>
  <si>
    <t>&lt;p class="Card-Feature"&gt;Take a Reload action to apply this ammo to a Sniper rifle and place 2 tokens on this card.  &lt;br&gt;&lt;br&gt;Discard 1 token for all subsequent attacks using that weapon.  These rounds act as a data relay allowing a Netrunner to attempt to hack any Device within Very Close of the target point of the Data-Spike Round</t>
  </si>
  <si>
    <t>&lt;p class="Card-Feature"&gt;Take a Reload action to apply this ammo to any rifle and place 2 tokens on this card.  &lt;br&gt;&lt;br&gt;Discard 1 token for all subsequent attacks using that weapon.  These rounds inject a tracker into the body of the target if the target takes any Hit Points of damage.  The tracker can be detected within 3 miles.</t>
  </si>
  <si>
    <t>&lt;p class="Card-Feature"&gt;Take a Reload action to apply this ammo to any rifle and place 4 tokens on this card.  &lt;br&gt;&lt;br&gt;Discard 1 token for all subsequent attacks using that weapon.  When you target a creature with these rounds, the next ally to attack that target gains +2 on their attack.</t>
  </si>
  <si>
    <t>&lt;p class="Card-Feature"&gt;Take a Reload action to apply this ammo to a &lt;strong&gt;shotgun&lt;/strong&gt; (only shotgun compatible) and place 4 tokens on this card. &lt;br&gt;&lt;br&gt; All subsequent attacks using that weapon create a small blast zone around the target  upon a hit; all creatures within Very Close take 1d4 damage.</t>
  </si>
  <si>
    <t>&lt;p class="Card-Feature"&gt;This mod can be applied to just about any weapon (GM's discretion) to allow that weapon to become compatible with the SmartLink™ cybernetic system.</t>
  </si>
  <si>
    <t>&lt;p class="Card-Feature"&gt;Increase the die increment whenever this weapon is fired (e.g. from a d4 to a d6).  If a Critical Failure is rolled while firing a weapon with this mod, the creature holding the weapon must Mark 2 Hit Points of damage and the weapon is destroyed.</t>
  </si>
  <si>
    <t>&lt;p class="Card-Feature"&gt;Add +1 to all damage from this gun</t>
  </si>
  <si>
    <t>&lt;p class="Card-Feature"&gt;Allow your gun to be fired 1 range increment further than normal, up to a max range of Very Long</t>
  </si>
  <si>
    <t>&lt;p class="Card-Feature"&gt;Reduce a range increment by 1 when target creatures at the limit of your gun's range</t>
  </si>
  <si>
    <t>&lt;p class="Card-Feature"&gt;Once per scene, perform the Reload action as a free action.</t>
  </si>
  <si>
    <t>&lt;p class="Card-Feature"&gt;+1 on all attack rolls with this gun.</t>
  </si>
  <si>
    <t>&lt;p class="Card-Feature"&gt;Once per scene, when you are required to make a Reload action, you may perform that Reload as a free action</t>
  </si>
  <si>
    <t>&lt;p class="Card-Feature"&gt;When resolving a successful attack with this weapon, if it is loaded with Armor piercing rounds, the target must mark 2 Stress to mark 1 Armor Slot</t>
  </si>
  <si>
    <t>&lt;p class="Card-Feature"&gt;Attacks harder to detect; all enemies attempting to Perceive your attack roll at Disadvantage</t>
  </si>
  <si>
    <t>&lt;p class="Card-Feature"&gt;All enemies within Very Close must make an Instinct saving throw or be Shaken and have a -2 on their next attack action.</t>
  </si>
  <si>
    <t>&lt;p class="Card-Feature"&gt;When attached to a rifle, allows the gun to be concealed more easily.  -2 on a Perceive check for the prescence of the gun to be detected.</t>
  </si>
  <si>
    <t>&lt;p class="Card-Feature"&gt;Add +d4 damage to Melee attacks made with this gun</t>
  </si>
  <si>
    <t>&lt;p class="Card-Feature"&gt;+1 range tier and +1 armor penetration. Critical: pierce through to behind target. Slot: Receiver / Power.</t>
  </si>
  <si>
    <t>&lt;p class="Card-Feature"&gt;Once per Scene, force one attacker to roll at Disadvantage. Critical: decoy draws fire. Slot: External / Electronics.</t>
  </si>
  <si>
    <t>&lt;p class="Card-Feature"&gt;On hit, minor AoE splash. Critical: heavy AoE; creates hazard zone. Slot: Ammo.</t>
  </si>
  <si>
    <t>&lt;p class="Card-Feature"&gt;Whenever you make an attack with this gun, you may &lt;strong&gt;Spend 1 Hope&lt;/strong&gt; to make a second attack at -2</t>
  </si>
  <si>
    <t>&lt;p class="Card-Feature"&gt;Once per scene, as a reaction, &lt;strong&gt;Spend 1 Hope&lt;/strong&gt; to reroll one failed Agility or Finesse based attack.</t>
  </si>
  <si>
    <t>&lt;p class="Card-Feature"&gt;Once per scene, &lt;strong&gt;Spend 1 Hope&lt;/strong&gt; to attack with advantage</t>
  </si>
  <si>
    <t>&lt;p class="Card-Feature"&gt;Once per long rest, as a Reaction, &lt;strong&gt;Spend 1 Hope&lt;/strong&gt; to make an attack on a creature targeting you before they make their attack</t>
  </si>
  <si>
    <t>Signal booster</t>
  </si>
  <si>
    <t>Night vision</t>
  </si>
  <si>
    <t>Telescope</t>
  </si>
  <si>
    <t>High-resolution optical zoom assembly with motorized stabilization and focus. Extends visual range for long-distance reconnaissance</t>
  </si>
  <si>
    <t>Lock kit</t>
  </si>
  <si>
    <t>Electronic surveillance kit</t>
  </si>
  <si>
    <t>Extra weapon</t>
  </si>
  <si>
    <t>Grenade</t>
  </si>
  <si>
    <t>Rocket launcher</t>
  </si>
  <si>
    <t>Extra armor</t>
  </si>
  <si>
    <t>Submersible</t>
  </si>
  <si>
    <t>Signal jammer</t>
  </si>
  <si>
    <t>High-gain relay and phased antenna array that extends line-of-sight comms and uplink resilience. Improves datarate and range for swarm coordination; increases RF detectability.</t>
  </si>
  <si>
    <t>Compact melee attachment modeled on Southeast Asian blades (keris/kris-style dagger). Designed for close-quarters utility and nonlethal deterrence when fitted with blunt or taser-tip variants; carries cultural resonance in certain districts.</t>
  </si>
  <si>
    <t>Grappling device</t>
  </si>
  <si>
    <t>Storage locker</t>
  </si>
  <si>
    <t>Digger</t>
  </si>
  <si>
    <t>Compact excavation kit with rotary auger and soil displacement sensors for shallow burrowing or substrate sampling. Suited for covert emplacement or forensic retrieval; limited by ground composition and energy budget.</t>
  </si>
  <si>
    <t>Chemical analysis tool</t>
  </si>
  <si>
    <t>Stealth shield</t>
  </si>
  <si>
    <t>Portable barrier</t>
  </si>
  <si>
    <t>Deployable modular barrier (inflatable or rigid-panel) for instant cover and crowd control. Provides temporary line-of-sight obstruction and blast attenuation; assembly time and emplacement footprint vary by model.</t>
  </si>
  <si>
    <t>Winch and tether system with motorized spool for anchoring or lifting small loads. Provides up to X kg dynamic pull (specify model), includes load sensors and auto-retract safety cutout.</t>
  </si>
  <si>
    <t>Internal modular cargo bay with secure locking and temperature stabilization. Supports mission-specific payloads, evidence retention, and concealment; access controlled via cryptographic key.</t>
  </si>
  <si>
    <t>Onboard spectrometer suite (FTIR/GC-MS microvariant) for rapid field profiling of liquids, vapors, and residues. Returns compound matches and confidence scores; requires consumables and calibration for high-accuracy results.</t>
  </si>
  <si>
    <t>Adaptive material overlay and EM-absorbent coating that reduces radar, LiDAR, and thermal signatures. Lowers detection probability at cost of increased power draw and reduced heat dissipation.</t>
  </si>
  <si>
    <t>Cybermancer</t>
  </si>
  <si>
    <t>Amplifier</t>
  </si>
  <si>
    <t>Ride the wave</t>
  </si>
  <si>
    <t>Feedback Loop</t>
  </si>
  <si>
    <t>Fractal Surge</t>
  </si>
  <si>
    <t>Detect anomaly</t>
  </si>
  <si>
    <t>After the Razz, reality is more of a suggestion than a hard fact.  No one knows what the Promethius Cloud unleashed, whether this is some new quantum state of reality in which everything is in a superposition Schrodinger state or some new rules of physics that we just don’t fully understand , but the result is that the old rules no longer apply.  More than anything the new state of reality has made it clear that the universe runs I'm a complicated system and the source code has been laid bare to your eyes.And that’s where you come in.  You can see the shifting patterns of quantum probability, they are everywhere.  Yeah, some people like to call them “mana”, “spiritual energy”, or some other mumbo jumbo, but you recognize them as the echoing resonances of the original Resonance.
Some Cybermancers love nothing more than to encourage and amplify the chaos that has come after the resonance and others seemed to make it their mission to try to return things back to normal” (whatever that means). But regardless they are all grabbing twisting and manipulating something that they really don't understand.</t>
  </si>
  <si>
    <t>Spend 3 Hope to force an adversary within Far to re-roll a Spellcasting check of any type.</t>
  </si>
  <si>
    <t>You believe chaos is not the enemy—it’s the engine. The Prometheus Cloud didn’t destroy the old world; it evolved it. Every surge of entropy, every collapse of structure, is another chance to grow something new. You are the frequency that pushes the system beyond stability, into transformation.
Amplifiers channel the Resonance into explosive expressions of energy and emotion. They heighten reality’s volatility, magnifying both danger and possibility. When you act, probability curves toward drama—fires burn brighter, shots hit harder, and coincidences pile up into fate.
Philosophy: Entropy is evolution. The world improves through destruction and rebirth.
Drive: Ignite transformation through chaos and connection.
Narrative Hook: Amplifiers often become cult icons, revolutionaries, or chaos-artists. They believe the Resonance is alive—and they’re its favorite instrument.</t>
  </si>
  <si>
    <t>When an ally fails a roll, as a Reaction, Spend 1 Hope to make a Spellcasting (15) and on a success turn their failure it into a Success with Fear.</t>
  </si>
  <si>
    <t>Once per scene, unleash a burst of raw probability.  
o	All Devices within Very Close gain -2 to their Hacking Difficulty 
o	All adversary electronic systems gain Disadvantage on their attack rolls until the GM spends 1 Fear to end that effect.</t>
  </si>
  <si>
    <t>You are highly attuned to the presence of effects that attempt to alter the local Resonance.  Spend an action concentrating to detect if there are any anomalies within Close.  Spend at least 1 minute concentrating to detect information about any anomalies within Very Close – you may ask the GM up to 3 yes/no questions about an resonance field disturbance you detect and examine in this way.</t>
  </si>
  <si>
    <t xml:space="preserve">Reverb </t>
  </si>
  <si>
    <t>Mark 1 Stress to cause ALL (from yourself, allies, and adversaries) magical effects within Close to do +d4 damage for the remainder of the Scene</t>
  </si>
  <si>
    <t>Chaos wave</t>
  </si>
  <si>
    <t>All adversaries within Very Close must Mark 1 Stress</t>
  </si>
  <si>
    <t>Resonant Overdrive</t>
  </si>
  <si>
    <t>Spend 1 Hope to amplify an ally’s next roll. That roll gains Advantage and deals +d4 damage.</t>
  </si>
  <si>
    <t>Spend 2 Hope - all adversaries within Very Close are disoriented and gain -2 Evasion until the GM spends 2 Fear to end the effect.</t>
  </si>
  <si>
    <t>Disorientation</t>
  </si>
  <si>
    <t>Reality fissure</t>
  </si>
  <si>
    <t>Once per session, redirect one successful ranged attack on any target within Close to a different target also within Close.  That attack’s damage is applied to the new target.</t>
  </si>
  <si>
    <t>All allies within Close gain +1 Evasion.</t>
  </si>
  <si>
    <t>Schlieren patterns</t>
  </si>
  <si>
    <t>Reprogram reality</t>
  </si>
  <si>
    <t xml:space="preserve">Once per session, shift to an approximately identical parallel universe - change one thing about the scene (with the GM’s discretion).  Describe what has changed and narrate the effect.  </t>
  </si>
  <si>
    <t>Dampener</t>
  </si>
  <si>
    <t>To you, chaos is noise—meaningless vibration that hides the true signal. The Prometheus Cloud shattered the lattice of reality, but you can still sense its intended structure. You hear the hum of stability beneath the static and dedicate yourself to restoring it.
Dampeners manipulate the field to filter, balance, and silence uncontrolled probability. They stabilize allies, suppress dangerous phenomena, and bring calm where others only see confusion. But the more control they impose, the more they risk cutting themselves off from the living rhythm of the Resonance itself.
Philosophy: Stability is strength. Chaos without form is suffering.
Drive: Contain, heal, and preserve coherence.</t>
  </si>
  <si>
    <t>Once per long rest, give each ally a Stability die based on your Cybermancy Tier (Tier 1: d4, Tier 2: d6, Tier 3: d8, Tier 4: d10).  They may use that Stability die to augment one Reaction check to oppose a magical effect.</t>
  </si>
  <si>
    <t>Stabilizing influence</t>
  </si>
  <si>
    <t>Once per scene, as a Reaction, when an ally within Close would Mark 1 Stress, you Mark 1 Stress instead.</t>
  </si>
  <si>
    <t>Spend 1 Hope to impose structure on the immediate area. Choose up to two allies within Very Close – their next action cannot fail, but also cannot critically succeed; a failed roll is treated as Succeed With Fear.</t>
  </si>
  <si>
    <t>Once per session, reduce the size of one area of effect.</t>
  </si>
  <si>
    <t>Once per scene, cancel one magical effect.  Spend 1 Hope per Tier of the originating adversary.</t>
  </si>
  <si>
    <t>Spotlight an action to enter a quantum superposition state. While in Stillpoint, you cannot attack or move more than Very Close, but all allies within Very Close gain +2 Evasion and advantage on Reactions to spells, magical effects, and resonance-based effects from the Environment.  The state ends if you take damage or choose to release it.</t>
  </si>
  <si>
    <t>Harmonic Reversion</t>
  </si>
  <si>
    <t>Quantum Lattice</t>
  </si>
  <si>
    <t>Destructive Interference</t>
  </si>
  <si>
    <t>Field collapse</t>
  </si>
  <si>
    <t>Stillpoint</t>
  </si>
  <si>
    <t>class-cybermancer</t>
  </si>
  <si>
    <t>subclass-amplifier</t>
  </si>
  <si>
    <t>subclass-dampener</t>
  </si>
  <si>
    <t>Low-light electro-optics package that grants a drone calibrated image-intensification and thermal overlay. Enables target identification and navigation in ≤0.1 lux conditions; susceptible to dazzling and IR countermeasures.</t>
  </si>
  <si>
    <t xml:space="preserve">Mechanical and electronic manipulator set for bypassing simple physical locks and actuating deadbolts. Includes micro-pick tools, torque sensors, and a low-power lock-sniffer; ineffective against hardened smartlocks without credential compromise.  </t>
  </si>
  <si>
    <t>Modular sensor array for passive RF interception, short-range IMSI/SSID scanning, and analog audio pickup. Provides packet capture, signal fingerprinting, and buffered evidence storage; legal and ethical constraints apply.</t>
  </si>
  <si>
    <t>Auxiliary hardpoint for mounting compact kinetic or directed-energy arms (pistol-class). Integrated recoil dampening and fire-control link; increases lethality at cost of power draw and signature.</t>
  </si>
  <si>
    <t>Single-use payload dispenser compatible with fragmentation, flashbang, or EMP cartridges. Designed for one-shot delivery with programmable fuse timing; blast radius and collateral effects vary by munition type.  A new token can only be applied as a action or during a rest.</t>
  </si>
  <si>
    <t>Tube-mounted single-shot launcher for small rockets or breaching charges. High structural and recoil load; intended for anti-vehicle or fortification breaching tasks and requires operator authorization.</t>
  </si>
  <si>
    <t>Active RF emitter that disrupts selected frequency bands within a defined radius. Effective against unsecured comms and simple remote control links; high power use and easily traced.</t>
  </si>
  <si>
    <t>+1 Armor, +2 / +2 to Major and Severe damage thresholds, -1 Evasion</t>
  </si>
  <si>
    <t xml:space="preserve">Composite plating upgrade that increases drone ballistic and fragmentation resistance. </t>
  </si>
  <si>
    <t>Melee weapon</t>
  </si>
  <si>
    <t>Your drone gains an extra Melee range attack, damage: d8+3</t>
  </si>
  <si>
    <t>Allows your Primary Drone to see in total darkness up to Close and low-light up to Very Far.</t>
  </si>
  <si>
    <t>Give your Primary Drone the ability to make a Finesse check using your character's Finesse ability when attempting to open a physical or electronic lock.</t>
  </si>
  <si>
    <t>Give your Primary Drone the ability to eavesdrop on electric signals within Very Far.  If those signals are encrypted, you must make a Knowledge check against the Environment Difficulty to decrypt.</t>
  </si>
  <si>
    <t>Your Primary Drone gains an extra attack, d6+2</t>
  </si>
  <si>
    <t>Place a token on this card and remove 1 grenade from your inventory.  Your Primary Drone now has the ability to launch that grenade as an attack action .</t>
  </si>
  <si>
    <t xml:space="preserve">Place 1 token on this card and remove 1 rocket from your inventory (must be acquired or built during a long rest).  Your Primary Drone now has the ability to launch that rocket as an attack action.  </t>
  </si>
  <si>
    <t>Your Primary Drone gains a watertight hull and sealed propulsion package enabling limited underwater operation. Supports shallow submersion, periscope comms, and buoyancy control; not rated for deep-sea pressures.</t>
  </si>
  <si>
    <t>Your Primary Drone gains a signal jammer such that all comms (ally and adversary) within Close are effectively jammed.  All other drones within Very Close can no longer receive signal or commands.</t>
  </si>
  <si>
    <t>Your Primary Drone can now operate anywhere within the Scene and is invulnerable to signal jamming if within Close of you.</t>
  </si>
  <si>
    <t>Your Primary Drone has an embedded grappling hook and 10m of cable.</t>
  </si>
  <si>
    <t>Your Primary Drone gaines the ability to burrow through soil at a rate of 3m / minute.</t>
  </si>
  <si>
    <t>Your Primary Drone gains the ability to constantly monitor environment within Close for any chemical hazards and can detect explosives as well.</t>
  </si>
  <si>
    <t>Your Primary Drone gains the ability to see with a 20x optical zoom, plus an additional 10x digital zoom allowing it to see and capture high quality images and video within 400m</t>
  </si>
  <si>
    <t>Your Primary Drone  gains an internal modular cargo bay with secure locking and temperature stabilization. Supports mission-specific payloads, evidence retention, and concealment; access controlled via cryptographic key.</t>
  </si>
  <si>
    <t>Your Primary Drone gains the ability to trigger the Hidden condition as an action.  That condition persists until it takes any other action.</t>
  </si>
  <si>
    <t>Your Primary Drone gains the ability to deploy a linear barrier.  Any creature can gain the Hidden condition by crouching down behind the barrier, but the drone may now gain the Hidden condition from its own portable barrier.</t>
  </si>
  <si>
    <t>experienceName</t>
  </si>
  <si>
    <t>experienceBonus</t>
  </si>
  <si>
    <t>Choir of Glass knifer</t>
  </si>
  <si>
    <t>Carries a shard knife, low-end AR visor, and a pocket speaker that emits disorienting tones.</t>
  </si>
  <si>
    <t>harass, intimidate, threaten, convert</t>
  </si>
  <si>
    <t>Stab</t>
  </si>
  <si>
    <t>1d6+1</t>
  </si>
  <si>
    <t>Religious argument</t>
  </si>
  <si>
    <t>adversary</t>
  </si>
  <si>
    <t>standard</t>
  </si>
  <si>
    <t>notes</t>
  </si>
  <si>
    <t>motivesAndTactics</t>
  </si>
  <si>
    <t>difficulty</t>
  </si>
  <si>
    <t>majorThreshold</t>
  </si>
  <si>
    <t>severeThreshold</t>
  </si>
  <si>
    <t>He slashes at you with a glass knife</t>
  </si>
  <si>
    <t>attackBonus</t>
  </si>
  <si>
    <t>attackName</t>
  </si>
  <si>
    <t>attackDescription</t>
  </si>
  <si>
    <t>attackDamage</t>
  </si>
  <si>
    <t>attackRange</t>
  </si>
  <si>
    <t>attackImg</t>
  </si>
  <si>
    <t>systemType</t>
  </si>
  <si>
    <t>Glassmask Lookout</t>
  </si>
  <si>
    <t>Rave Enforcer</t>
  </si>
  <si>
    <t>Echo Runner</t>
  </si>
  <si>
    <t>Pattern-Touched Beggar</t>
  </si>
  <si>
    <t>skulk</t>
  </si>
  <si>
    <t>bruiser</t>
  </si>
  <si>
    <t>support</t>
  </si>
  <si>
    <t>ranged</t>
  </si>
  <si>
    <t>hide, flank, divide, profit, escape</t>
  </si>
  <si>
    <t>Wears a cracked, reflective faceplate that hides identity and displays looping memetic patterns. Uses a cheap pistol and a signal whistle tied to Abraxas-pattern frequencies.</t>
  </si>
  <si>
    <t>Implanted subdermal LEDs pulse with hypnotic rhythm. Swings a reinforced baton synchronized to their internal beat-generator.</t>
  </si>
  <si>
    <t>Constant noise maker in combat.  Drops a beat and then beats on you</t>
  </si>
  <si>
    <t>Unpredictable, mumbling fragments of pattern phrases. Carries improvised weapons. Presence causes mild psychic static in their vicinity.</t>
  </si>
  <si>
    <t>confuse, disorient, convert, suborn</t>
  </si>
  <si>
    <t>intimidate, bully, steal, protect</t>
  </si>
  <si>
    <t>harass, confuse, dance, mobility, escape</t>
  </si>
  <si>
    <t>Heavy Pistol</t>
  </si>
  <si>
    <t>Crowbar</t>
  </si>
  <si>
    <t>Sonic Blast</t>
  </si>
  <si>
    <t>Psychic Distrubance</t>
  </si>
  <si>
    <t>Shots fired!</t>
  </si>
  <si>
    <t>This is not what the crowbar was meant for!</t>
  </si>
  <si>
    <t>A disorienting rush of sound</t>
  </si>
  <si>
    <t>Your brain is squeezed from the inside</t>
  </si>
  <si>
    <t>1d6+2</t>
  </si>
  <si>
    <t>1d8</t>
  </si>
  <si>
    <t>1d10+3</t>
  </si>
  <si>
    <t>1d4+2</t>
  </si>
  <si>
    <t>Backstab</t>
  </si>
  <si>
    <t>Unveiled Threats</t>
  </si>
  <si>
    <t>Cacophony</t>
  </si>
  <si>
    <t>Resonance Knowledge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</si>
</sst>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3.5"/>
      <color theme="1"/>
      <name val="Aptos Narrow"/>
      <family val="2"/>
      <scheme val="minor"/>
    </font>
    <font>
      <sz val="8"/>
      <color rgb="FF222222"/>
      <name val="Arial"/>
      <family val="2"/>
    </font>
    <font>
      <b/>
      <sz val="11"/>
      <color rgb="FFFF0000"/>
      <name val="Aptos Narrow"/>
      <family val="2"/>
      <scheme val="minor"/>
    </font>
    <font>
      <sz val="11"/>
      <name val="Aptos Narrow"/>
      <family val="2"/>
      <scheme val="minor"/>
    </font>
    <font>
      <i/>
      <sz val="11"/>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00B05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3">
    <xf numFmtId="0" fontId="0" fillId="0" borderId="0" xfId="0"/>
    <xf numFmtId="0" fontId="16" fillId="0" borderId="0" xfId="0" applyFont="1"/>
    <xf numFmtId="0" fontId="16" fillId="33" borderId="0" xfId="0" applyFont="1" applyFill="1"/>
    <xf numFmtId="0" fontId="16" fillId="33" borderId="0" xfId="0" applyFont="1" applyFill="1" applyAlignment="1">
      <alignment wrapText="1"/>
    </xf>
    <xf numFmtId="0" fontId="0" fillId="0" borderId="0" xfId="0" applyAlignment="1">
      <alignment wrapText="1"/>
    </xf>
    <xf numFmtId="0" fontId="19" fillId="0" borderId="0" xfId="0" applyFont="1" applyAlignment="1">
      <alignment vertical="center"/>
    </xf>
    <xf numFmtId="0" fontId="0" fillId="0" borderId="0" xfId="0" applyAlignment="1">
      <alignment horizontal="left" vertical="center" indent="1"/>
    </xf>
    <xf numFmtId="0" fontId="18" fillId="0" borderId="0" xfId="42" applyAlignment="1">
      <alignment horizontal="left" vertical="center" indent="1"/>
    </xf>
    <xf numFmtId="0" fontId="0" fillId="0" borderId="0" xfId="0" applyAlignment="1">
      <alignment vertical="center" wrapText="1"/>
    </xf>
    <xf numFmtId="0" fontId="18" fillId="0" borderId="0" xfId="42"/>
    <xf numFmtId="0" fontId="0" fillId="33" borderId="0" xfId="0" applyFill="1"/>
    <xf numFmtId="0" fontId="20" fillId="0" borderId="0" xfId="0" applyFont="1" applyAlignment="1">
      <alignment vertical="top" wrapText="1"/>
    </xf>
    <xf numFmtId="0" fontId="0" fillId="0" borderId="0" xfId="0" quotePrefix="1"/>
    <xf numFmtId="0" fontId="0" fillId="0" borderId="0" xfId="0" applyAlignment="1">
      <alignment horizontal="center"/>
    </xf>
    <xf numFmtId="0" fontId="16" fillId="33" borderId="0" xfId="0" applyFont="1" applyFill="1" applyAlignment="1">
      <alignment horizontal="center"/>
    </xf>
    <xf numFmtId="0" fontId="16" fillId="33" borderId="0" xfId="0" applyFont="1" applyFill="1" applyAlignment="1">
      <alignment horizontal="center" wrapText="1"/>
    </xf>
    <xf numFmtId="0" fontId="16" fillId="0" borderId="0" xfId="0" applyFont="1" applyAlignment="1">
      <alignment wrapText="1"/>
    </xf>
    <xf numFmtId="0" fontId="0" fillId="0" borderId="0" xfId="0" applyAlignment="1">
      <alignment horizontal="center" wrapText="1"/>
    </xf>
    <xf numFmtId="0" fontId="21" fillId="0" borderId="0" xfId="0" applyFont="1" applyAlignment="1">
      <alignment wrapText="1"/>
    </xf>
    <xf numFmtId="0" fontId="22" fillId="0" borderId="0" xfId="0" applyFont="1" applyAlignment="1">
      <alignment wrapText="1"/>
    </xf>
    <xf numFmtId="49" fontId="0" fillId="0" borderId="0" xfId="0" applyNumberFormat="1"/>
    <xf numFmtId="49" fontId="0" fillId="0" borderId="0" xfId="0" quotePrefix="1" applyNumberFormat="1"/>
    <xf numFmtId="0" fontId="16" fillId="0" borderId="0" xfId="0" applyFont="1" applyAlignment="1">
      <alignment horizontal="center" vertical="center" wrapText="1"/>
    </xf>
    <xf numFmtId="0" fontId="23" fillId="0" borderId="0" xfId="0" applyFont="1" applyAlignment="1">
      <alignment vertical="center" wrapText="1"/>
    </xf>
    <xf numFmtId="49" fontId="0" fillId="0" borderId="0" xfId="0" applyNumberFormat="1" applyAlignment="1">
      <alignment vertical="center" wrapText="1"/>
    </xf>
    <xf numFmtId="49" fontId="0" fillId="0" borderId="0" xfId="0" applyNumberFormat="1" applyAlignment="1">
      <alignment wrapText="1"/>
    </xf>
    <xf numFmtId="0" fontId="0" fillId="34" borderId="0" xfId="0" applyFill="1"/>
    <xf numFmtId="49" fontId="0" fillId="34" borderId="0" xfId="0" applyNumberFormat="1" applyFill="1" applyAlignment="1">
      <alignment wrapText="1"/>
    </xf>
    <xf numFmtId="49" fontId="0" fillId="34" borderId="0" xfId="0" applyNumberFormat="1" applyFill="1"/>
    <xf numFmtId="0" fontId="16" fillId="34" borderId="0" xfId="0" applyFont="1" applyFill="1" applyAlignment="1">
      <alignment horizontal="center" vertical="center" wrapText="1"/>
    </xf>
    <xf numFmtId="49" fontId="0" fillId="35" borderId="0" xfId="0" applyNumberFormat="1" applyFill="1" applyAlignment="1">
      <alignment wrapText="1"/>
    </xf>
    <xf numFmtId="0" fontId="0" fillId="35" borderId="0" xfId="0" applyFill="1" applyAlignment="1">
      <alignment wrapText="1"/>
    </xf>
    <xf numFmtId="0" fontId="0" fillId="0" borderId="0" xfId="0" quotePrefix="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304800</xdr:colOff>
      <xdr:row>3</xdr:row>
      <xdr:rowOff>304800</xdr:rowOff>
    </xdr:to>
    <xdr:sp macro="" textlink="">
      <xdr:nvSpPr>
        <xdr:cNvPr id="1025" name="AutoShape 1" descr="empty star icon">
          <a:extLst>
            <a:ext uri="{FF2B5EF4-FFF2-40B4-BE49-F238E27FC236}">
              <a16:creationId xmlns:a16="http://schemas.microsoft.com/office/drawing/2014/main" id="{14D79E96-43FC-689E-5053-093EF882A478}"/>
            </a:ext>
          </a:extLst>
        </xdr:cNvPr>
        <xdr:cNvSpPr>
          <a:spLocks noChangeAspect="1" noChangeArrowheads="1"/>
        </xdr:cNvSpPr>
      </xdr:nvSpPr>
      <xdr:spPr bwMode="auto">
        <a:xfrm>
          <a:off x="21145500" y="184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xdr:row>
      <xdr:rowOff>0</xdr:rowOff>
    </xdr:from>
    <xdr:to>
      <xdr:col>7</xdr:col>
      <xdr:colOff>304800</xdr:colOff>
      <xdr:row>4</xdr:row>
      <xdr:rowOff>304800</xdr:rowOff>
    </xdr:to>
    <xdr:sp macro="" textlink="">
      <xdr:nvSpPr>
        <xdr:cNvPr id="1026" name="AutoShape 2" descr="empty star icon">
          <a:extLst>
            <a:ext uri="{FF2B5EF4-FFF2-40B4-BE49-F238E27FC236}">
              <a16:creationId xmlns:a16="http://schemas.microsoft.com/office/drawing/2014/main" id="{FEF4283A-A598-2783-6627-5D13B90FC14A}"/>
            </a:ext>
          </a:extLst>
        </xdr:cNvPr>
        <xdr:cNvSpPr>
          <a:spLocks noChangeAspect="1" noChangeArrowheads="1"/>
        </xdr:cNvSpPr>
      </xdr:nvSpPr>
      <xdr:spPr bwMode="auto">
        <a:xfrm>
          <a:off x="21145500" y="246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5</xdr:row>
      <xdr:rowOff>304800</xdr:rowOff>
    </xdr:to>
    <xdr:sp macro="" textlink="">
      <xdr:nvSpPr>
        <xdr:cNvPr id="1027" name="AutoShape 3" descr="empty star icon">
          <a:extLst>
            <a:ext uri="{FF2B5EF4-FFF2-40B4-BE49-F238E27FC236}">
              <a16:creationId xmlns:a16="http://schemas.microsoft.com/office/drawing/2014/main" id="{8852F50A-B140-710B-9C66-02EC0ED3FC3D}"/>
            </a:ext>
          </a:extLst>
        </xdr:cNvPr>
        <xdr:cNvSpPr>
          <a:spLocks noChangeAspect="1" noChangeArrowheads="1"/>
        </xdr:cNvSpPr>
      </xdr:nvSpPr>
      <xdr:spPr bwMode="auto">
        <a:xfrm>
          <a:off x="21145500" y="307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xdr:row>
      <xdr:rowOff>0</xdr:rowOff>
    </xdr:from>
    <xdr:to>
      <xdr:col>7</xdr:col>
      <xdr:colOff>304800</xdr:colOff>
      <xdr:row>6</xdr:row>
      <xdr:rowOff>304800</xdr:rowOff>
    </xdr:to>
    <xdr:sp macro="" textlink="">
      <xdr:nvSpPr>
        <xdr:cNvPr id="1028" name="AutoShape 4" descr="empty star icon">
          <a:extLst>
            <a:ext uri="{FF2B5EF4-FFF2-40B4-BE49-F238E27FC236}">
              <a16:creationId xmlns:a16="http://schemas.microsoft.com/office/drawing/2014/main" id="{2C021E93-9D57-E88F-4DA3-D95BF07A46B1}"/>
            </a:ext>
          </a:extLst>
        </xdr:cNvPr>
        <xdr:cNvSpPr>
          <a:spLocks noChangeAspect="1" noChangeArrowheads="1"/>
        </xdr:cNvSpPr>
      </xdr:nvSpPr>
      <xdr:spPr bwMode="auto">
        <a:xfrm>
          <a:off x="21145500" y="369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1029" name="AutoShape 5" descr="empty star icon">
          <a:extLst>
            <a:ext uri="{FF2B5EF4-FFF2-40B4-BE49-F238E27FC236}">
              <a16:creationId xmlns:a16="http://schemas.microsoft.com/office/drawing/2014/main" id="{EADC874E-716A-0FAC-580F-F1F0027FE1FC}"/>
            </a:ext>
          </a:extLst>
        </xdr:cNvPr>
        <xdr:cNvSpPr>
          <a:spLocks noChangeAspect="1" noChangeArrowheads="1"/>
        </xdr:cNvSpPr>
      </xdr:nvSpPr>
      <xdr:spPr bwMode="auto">
        <a:xfrm>
          <a:off x="21145500" y="677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xdr:row>
      <xdr:rowOff>0</xdr:rowOff>
    </xdr:from>
    <xdr:to>
      <xdr:col>7</xdr:col>
      <xdr:colOff>304800</xdr:colOff>
      <xdr:row>12</xdr:row>
      <xdr:rowOff>304800</xdr:rowOff>
    </xdr:to>
    <xdr:sp macro="" textlink="">
      <xdr:nvSpPr>
        <xdr:cNvPr id="1030" name="AutoShape 6" descr="empty star icon">
          <a:extLst>
            <a:ext uri="{FF2B5EF4-FFF2-40B4-BE49-F238E27FC236}">
              <a16:creationId xmlns:a16="http://schemas.microsoft.com/office/drawing/2014/main" id="{62ABBF8E-EF0C-56E1-CFBF-EC19B5DE0DC0}"/>
            </a:ext>
          </a:extLst>
        </xdr:cNvPr>
        <xdr:cNvSpPr>
          <a:spLocks noChangeAspect="1" noChangeArrowheads="1"/>
        </xdr:cNvSpPr>
      </xdr:nvSpPr>
      <xdr:spPr bwMode="auto">
        <a:xfrm>
          <a:off x="21145500" y="739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13</xdr:row>
      <xdr:rowOff>0</xdr:rowOff>
    </xdr:from>
    <xdr:to>
      <xdr:col>7</xdr:col>
      <xdr:colOff>304800</xdr:colOff>
      <xdr:row>13</xdr:row>
      <xdr:rowOff>304800</xdr:rowOff>
    </xdr:to>
    <xdr:sp macro="" textlink="">
      <xdr:nvSpPr>
        <xdr:cNvPr id="1031" name="AutoShape 7" descr="empty star icon">
          <a:extLst>
            <a:ext uri="{FF2B5EF4-FFF2-40B4-BE49-F238E27FC236}">
              <a16:creationId xmlns:a16="http://schemas.microsoft.com/office/drawing/2014/main" id="{D0C5CA5C-6E30-80BD-9DCF-F26D15415806}"/>
            </a:ext>
          </a:extLst>
        </xdr:cNvPr>
        <xdr:cNvSpPr>
          <a:spLocks noChangeAspect="1" noChangeArrowheads="1"/>
        </xdr:cNvSpPr>
      </xdr:nvSpPr>
      <xdr:spPr bwMode="auto">
        <a:xfrm>
          <a:off x="21145500" y="800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1032" name="AutoShape 8" descr="empty star icon">
          <a:extLst>
            <a:ext uri="{FF2B5EF4-FFF2-40B4-BE49-F238E27FC236}">
              <a16:creationId xmlns:a16="http://schemas.microsoft.com/office/drawing/2014/main" id="{CED63E56-D18E-A102-C417-4D7F3976C98A}"/>
            </a:ext>
          </a:extLst>
        </xdr:cNvPr>
        <xdr:cNvSpPr>
          <a:spLocks noChangeAspect="1" noChangeArrowheads="1"/>
        </xdr:cNvSpPr>
      </xdr:nvSpPr>
      <xdr:spPr bwMode="auto">
        <a:xfrm>
          <a:off x="21145500" y="862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15</xdr:row>
      <xdr:rowOff>0</xdr:rowOff>
    </xdr:from>
    <xdr:to>
      <xdr:col>7</xdr:col>
      <xdr:colOff>304800</xdr:colOff>
      <xdr:row>15</xdr:row>
      <xdr:rowOff>304800</xdr:rowOff>
    </xdr:to>
    <xdr:sp macro="" textlink="">
      <xdr:nvSpPr>
        <xdr:cNvPr id="1033" name="AutoShape 9" descr="empty star icon">
          <a:extLst>
            <a:ext uri="{FF2B5EF4-FFF2-40B4-BE49-F238E27FC236}">
              <a16:creationId xmlns:a16="http://schemas.microsoft.com/office/drawing/2014/main" id="{D610FA04-6C91-3401-A889-5433FE67E73A}"/>
            </a:ext>
          </a:extLst>
        </xdr:cNvPr>
        <xdr:cNvSpPr>
          <a:spLocks noChangeAspect="1" noChangeArrowheads="1"/>
        </xdr:cNvSpPr>
      </xdr:nvSpPr>
      <xdr:spPr bwMode="auto">
        <a:xfrm>
          <a:off x="21145500" y="923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16</xdr:row>
      <xdr:rowOff>0</xdr:rowOff>
    </xdr:from>
    <xdr:to>
      <xdr:col>7</xdr:col>
      <xdr:colOff>304800</xdr:colOff>
      <xdr:row>16</xdr:row>
      <xdr:rowOff>304800</xdr:rowOff>
    </xdr:to>
    <xdr:sp macro="" textlink="">
      <xdr:nvSpPr>
        <xdr:cNvPr id="1034" name="AutoShape 10" descr="empty star icon">
          <a:extLst>
            <a:ext uri="{FF2B5EF4-FFF2-40B4-BE49-F238E27FC236}">
              <a16:creationId xmlns:a16="http://schemas.microsoft.com/office/drawing/2014/main" id="{DA169951-5144-E411-FF7D-EC59B06DF538}"/>
            </a:ext>
          </a:extLst>
        </xdr:cNvPr>
        <xdr:cNvSpPr>
          <a:spLocks noChangeAspect="1" noChangeArrowheads="1"/>
        </xdr:cNvSpPr>
      </xdr:nvSpPr>
      <xdr:spPr bwMode="auto">
        <a:xfrm>
          <a:off x="21145500" y="985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1035" name="AutoShape 11" descr="empty star icon">
          <a:extLst>
            <a:ext uri="{FF2B5EF4-FFF2-40B4-BE49-F238E27FC236}">
              <a16:creationId xmlns:a16="http://schemas.microsoft.com/office/drawing/2014/main" id="{1444CBCE-FC3B-608A-288F-DA2630013CB8}"/>
            </a:ext>
          </a:extLst>
        </xdr:cNvPr>
        <xdr:cNvSpPr>
          <a:spLocks noChangeAspect="1" noChangeArrowheads="1"/>
        </xdr:cNvSpPr>
      </xdr:nvSpPr>
      <xdr:spPr bwMode="auto">
        <a:xfrm>
          <a:off x="21145500" y="1047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18</xdr:row>
      <xdr:rowOff>0</xdr:rowOff>
    </xdr:from>
    <xdr:to>
      <xdr:col>7</xdr:col>
      <xdr:colOff>304800</xdr:colOff>
      <xdr:row>18</xdr:row>
      <xdr:rowOff>304800</xdr:rowOff>
    </xdr:to>
    <xdr:sp macro="" textlink="">
      <xdr:nvSpPr>
        <xdr:cNvPr id="1036" name="AutoShape 12" descr="empty star icon">
          <a:extLst>
            <a:ext uri="{FF2B5EF4-FFF2-40B4-BE49-F238E27FC236}">
              <a16:creationId xmlns:a16="http://schemas.microsoft.com/office/drawing/2014/main" id="{260B48E7-26C0-88A1-68FB-AED8BB148C7C}"/>
            </a:ext>
          </a:extLst>
        </xdr:cNvPr>
        <xdr:cNvSpPr>
          <a:spLocks noChangeAspect="1" noChangeArrowheads="1"/>
        </xdr:cNvSpPr>
      </xdr:nvSpPr>
      <xdr:spPr bwMode="auto">
        <a:xfrm>
          <a:off x="21145500" y="1108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19</xdr:row>
      <xdr:rowOff>0</xdr:rowOff>
    </xdr:from>
    <xdr:to>
      <xdr:col>7</xdr:col>
      <xdr:colOff>304800</xdr:colOff>
      <xdr:row>19</xdr:row>
      <xdr:rowOff>304800</xdr:rowOff>
    </xdr:to>
    <xdr:sp macro="" textlink="">
      <xdr:nvSpPr>
        <xdr:cNvPr id="1037" name="AutoShape 13" descr="empty star icon">
          <a:extLst>
            <a:ext uri="{FF2B5EF4-FFF2-40B4-BE49-F238E27FC236}">
              <a16:creationId xmlns:a16="http://schemas.microsoft.com/office/drawing/2014/main" id="{9E2FCA3B-A37D-72CA-4D26-AFC5AA63EECA}"/>
            </a:ext>
          </a:extLst>
        </xdr:cNvPr>
        <xdr:cNvSpPr>
          <a:spLocks noChangeAspect="1" noChangeArrowheads="1"/>
        </xdr:cNvSpPr>
      </xdr:nvSpPr>
      <xdr:spPr bwMode="auto">
        <a:xfrm>
          <a:off x="21145500" y="1170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20</xdr:row>
      <xdr:rowOff>0</xdr:rowOff>
    </xdr:from>
    <xdr:to>
      <xdr:col>7</xdr:col>
      <xdr:colOff>304800</xdr:colOff>
      <xdr:row>20</xdr:row>
      <xdr:rowOff>304800</xdr:rowOff>
    </xdr:to>
    <xdr:sp macro="" textlink="">
      <xdr:nvSpPr>
        <xdr:cNvPr id="1038" name="AutoShape 14" descr="empty star icon">
          <a:extLst>
            <a:ext uri="{FF2B5EF4-FFF2-40B4-BE49-F238E27FC236}">
              <a16:creationId xmlns:a16="http://schemas.microsoft.com/office/drawing/2014/main" id="{D7CB357B-ABEE-B5A7-C4C2-E496506C3D83}"/>
            </a:ext>
          </a:extLst>
        </xdr:cNvPr>
        <xdr:cNvSpPr>
          <a:spLocks noChangeAspect="1" noChangeArrowheads="1"/>
        </xdr:cNvSpPr>
      </xdr:nvSpPr>
      <xdr:spPr bwMode="auto">
        <a:xfrm>
          <a:off x="21145500" y="123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25</xdr:row>
      <xdr:rowOff>0</xdr:rowOff>
    </xdr:from>
    <xdr:to>
      <xdr:col>7</xdr:col>
      <xdr:colOff>304800</xdr:colOff>
      <xdr:row>25</xdr:row>
      <xdr:rowOff>304800</xdr:rowOff>
    </xdr:to>
    <xdr:sp macro="" textlink="">
      <xdr:nvSpPr>
        <xdr:cNvPr id="1039" name="AutoShape 15" descr="empty star icon">
          <a:extLst>
            <a:ext uri="{FF2B5EF4-FFF2-40B4-BE49-F238E27FC236}">
              <a16:creationId xmlns:a16="http://schemas.microsoft.com/office/drawing/2014/main" id="{37F229C8-9498-9D09-B427-3974B0BCEE09}"/>
            </a:ext>
          </a:extLst>
        </xdr:cNvPr>
        <xdr:cNvSpPr>
          <a:spLocks noChangeAspect="1" noChangeArrowheads="1"/>
        </xdr:cNvSpPr>
      </xdr:nvSpPr>
      <xdr:spPr bwMode="auto">
        <a:xfrm>
          <a:off x="21145500" y="1539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26</xdr:row>
      <xdr:rowOff>0</xdr:rowOff>
    </xdr:from>
    <xdr:to>
      <xdr:col>7</xdr:col>
      <xdr:colOff>304800</xdr:colOff>
      <xdr:row>26</xdr:row>
      <xdr:rowOff>304800</xdr:rowOff>
    </xdr:to>
    <xdr:sp macro="" textlink="">
      <xdr:nvSpPr>
        <xdr:cNvPr id="1040" name="AutoShape 16" descr="empty star icon">
          <a:extLst>
            <a:ext uri="{FF2B5EF4-FFF2-40B4-BE49-F238E27FC236}">
              <a16:creationId xmlns:a16="http://schemas.microsoft.com/office/drawing/2014/main" id="{1FD9DD6E-DC93-E40A-0CB2-652EB7FCAEAE}"/>
            </a:ext>
          </a:extLst>
        </xdr:cNvPr>
        <xdr:cNvSpPr>
          <a:spLocks noChangeAspect="1" noChangeArrowheads="1"/>
        </xdr:cNvSpPr>
      </xdr:nvSpPr>
      <xdr:spPr bwMode="auto">
        <a:xfrm>
          <a:off x="21145500" y="1601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27</xdr:row>
      <xdr:rowOff>0</xdr:rowOff>
    </xdr:from>
    <xdr:to>
      <xdr:col>7</xdr:col>
      <xdr:colOff>304800</xdr:colOff>
      <xdr:row>27</xdr:row>
      <xdr:rowOff>304800</xdr:rowOff>
    </xdr:to>
    <xdr:sp macro="" textlink="">
      <xdr:nvSpPr>
        <xdr:cNvPr id="1041" name="AutoShape 17" descr="empty star icon">
          <a:extLst>
            <a:ext uri="{FF2B5EF4-FFF2-40B4-BE49-F238E27FC236}">
              <a16:creationId xmlns:a16="http://schemas.microsoft.com/office/drawing/2014/main" id="{2D9F7514-C1C9-A5FF-934D-D5F39D4EF7EF}"/>
            </a:ext>
          </a:extLst>
        </xdr:cNvPr>
        <xdr:cNvSpPr>
          <a:spLocks noChangeAspect="1" noChangeArrowheads="1"/>
        </xdr:cNvSpPr>
      </xdr:nvSpPr>
      <xdr:spPr bwMode="auto">
        <a:xfrm>
          <a:off x="21145500" y="1663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28</xdr:row>
      <xdr:rowOff>0</xdr:rowOff>
    </xdr:from>
    <xdr:to>
      <xdr:col>7</xdr:col>
      <xdr:colOff>304800</xdr:colOff>
      <xdr:row>28</xdr:row>
      <xdr:rowOff>304800</xdr:rowOff>
    </xdr:to>
    <xdr:sp macro="" textlink="">
      <xdr:nvSpPr>
        <xdr:cNvPr id="1042" name="AutoShape 18" descr="empty star icon">
          <a:extLst>
            <a:ext uri="{FF2B5EF4-FFF2-40B4-BE49-F238E27FC236}">
              <a16:creationId xmlns:a16="http://schemas.microsoft.com/office/drawing/2014/main" id="{2B0BE21C-4A90-6E3B-1B9B-7AC982A306F2}"/>
            </a:ext>
          </a:extLst>
        </xdr:cNvPr>
        <xdr:cNvSpPr>
          <a:spLocks noChangeAspect="1" noChangeArrowheads="1"/>
        </xdr:cNvSpPr>
      </xdr:nvSpPr>
      <xdr:spPr bwMode="auto">
        <a:xfrm>
          <a:off x="21145500" y="1724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29</xdr:row>
      <xdr:rowOff>0</xdr:rowOff>
    </xdr:from>
    <xdr:to>
      <xdr:col>7</xdr:col>
      <xdr:colOff>304800</xdr:colOff>
      <xdr:row>29</xdr:row>
      <xdr:rowOff>304800</xdr:rowOff>
    </xdr:to>
    <xdr:sp macro="" textlink="">
      <xdr:nvSpPr>
        <xdr:cNvPr id="1043" name="AutoShape 19" descr="empty star icon">
          <a:extLst>
            <a:ext uri="{FF2B5EF4-FFF2-40B4-BE49-F238E27FC236}">
              <a16:creationId xmlns:a16="http://schemas.microsoft.com/office/drawing/2014/main" id="{CB72A7F7-7B5B-71B0-BA00-3C17991D1CCE}"/>
            </a:ext>
          </a:extLst>
        </xdr:cNvPr>
        <xdr:cNvSpPr>
          <a:spLocks noChangeAspect="1" noChangeArrowheads="1"/>
        </xdr:cNvSpPr>
      </xdr:nvSpPr>
      <xdr:spPr bwMode="auto">
        <a:xfrm>
          <a:off x="21145500" y="1786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30</xdr:row>
      <xdr:rowOff>0</xdr:rowOff>
    </xdr:from>
    <xdr:to>
      <xdr:col>7</xdr:col>
      <xdr:colOff>304800</xdr:colOff>
      <xdr:row>30</xdr:row>
      <xdr:rowOff>304800</xdr:rowOff>
    </xdr:to>
    <xdr:sp macro="" textlink="">
      <xdr:nvSpPr>
        <xdr:cNvPr id="1044" name="AutoShape 20" descr="empty star icon">
          <a:extLst>
            <a:ext uri="{FF2B5EF4-FFF2-40B4-BE49-F238E27FC236}">
              <a16:creationId xmlns:a16="http://schemas.microsoft.com/office/drawing/2014/main" id="{782E0734-4175-D412-C219-76B4798DBA86}"/>
            </a:ext>
          </a:extLst>
        </xdr:cNvPr>
        <xdr:cNvSpPr>
          <a:spLocks noChangeAspect="1" noChangeArrowheads="1"/>
        </xdr:cNvSpPr>
      </xdr:nvSpPr>
      <xdr:spPr bwMode="auto">
        <a:xfrm>
          <a:off x="21145500" y="184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31</xdr:row>
      <xdr:rowOff>0</xdr:rowOff>
    </xdr:from>
    <xdr:to>
      <xdr:col>7</xdr:col>
      <xdr:colOff>304800</xdr:colOff>
      <xdr:row>31</xdr:row>
      <xdr:rowOff>304800</xdr:rowOff>
    </xdr:to>
    <xdr:sp macro="" textlink="">
      <xdr:nvSpPr>
        <xdr:cNvPr id="1045" name="AutoShape 21" descr="empty star icon">
          <a:extLst>
            <a:ext uri="{FF2B5EF4-FFF2-40B4-BE49-F238E27FC236}">
              <a16:creationId xmlns:a16="http://schemas.microsoft.com/office/drawing/2014/main" id="{055F406D-773B-F18A-0971-41CC17F9299C}"/>
            </a:ext>
          </a:extLst>
        </xdr:cNvPr>
        <xdr:cNvSpPr>
          <a:spLocks noChangeAspect="1" noChangeArrowheads="1"/>
        </xdr:cNvSpPr>
      </xdr:nvSpPr>
      <xdr:spPr bwMode="auto">
        <a:xfrm>
          <a:off x="21145500" y="1909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xdr:row>
      <xdr:rowOff>0</xdr:rowOff>
    </xdr:from>
    <xdr:to>
      <xdr:col>7</xdr:col>
      <xdr:colOff>304800</xdr:colOff>
      <xdr:row>32</xdr:row>
      <xdr:rowOff>304800</xdr:rowOff>
    </xdr:to>
    <xdr:sp macro="" textlink="">
      <xdr:nvSpPr>
        <xdr:cNvPr id="1046" name="AutoShape 22" descr="empty star icon">
          <a:extLst>
            <a:ext uri="{FF2B5EF4-FFF2-40B4-BE49-F238E27FC236}">
              <a16:creationId xmlns:a16="http://schemas.microsoft.com/office/drawing/2014/main" id="{17EF98AD-0503-5C6A-CD51-F69184BD8ECD}"/>
            </a:ext>
          </a:extLst>
        </xdr:cNvPr>
        <xdr:cNvSpPr>
          <a:spLocks noChangeAspect="1" noChangeArrowheads="1"/>
        </xdr:cNvSpPr>
      </xdr:nvSpPr>
      <xdr:spPr bwMode="auto">
        <a:xfrm>
          <a:off x="21145500" y="1971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xdr:row>
      <xdr:rowOff>0</xdr:rowOff>
    </xdr:from>
    <xdr:to>
      <xdr:col>7</xdr:col>
      <xdr:colOff>304800</xdr:colOff>
      <xdr:row>33</xdr:row>
      <xdr:rowOff>304800</xdr:rowOff>
    </xdr:to>
    <xdr:sp macro="" textlink="">
      <xdr:nvSpPr>
        <xdr:cNvPr id="1047" name="AutoShape 23" descr="empty star icon">
          <a:extLst>
            <a:ext uri="{FF2B5EF4-FFF2-40B4-BE49-F238E27FC236}">
              <a16:creationId xmlns:a16="http://schemas.microsoft.com/office/drawing/2014/main" id="{F7109E1D-7103-2B7D-8A0A-AE79B8ABDB55}"/>
            </a:ext>
          </a:extLst>
        </xdr:cNvPr>
        <xdr:cNvSpPr>
          <a:spLocks noChangeAspect="1" noChangeArrowheads="1"/>
        </xdr:cNvSpPr>
      </xdr:nvSpPr>
      <xdr:spPr bwMode="auto">
        <a:xfrm>
          <a:off x="21145500" y="2032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34</xdr:row>
      <xdr:rowOff>0</xdr:rowOff>
    </xdr:from>
    <xdr:to>
      <xdr:col>7</xdr:col>
      <xdr:colOff>304800</xdr:colOff>
      <xdr:row>34</xdr:row>
      <xdr:rowOff>304800</xdr:rowOff>
    </xdr:to>
    <xdr:sp macro="" textlink="">
      <xdr:nvSpPr>
        <xdr:cNvPr id="1048" name="AutoShape 24" descr="empty star icon">
          <a:extLst>
            <a:ext uri="{FF2B5EF4-FFF2-40B4-BE49-F238E27FC236}">
              <a16:creationId xmlns:a16="http://schemas.microsoft.com/office/drawing/2014/main" id="{7AC27CED-232A-BBFE-0C75-FFA61841CB79}"/>
            </a:ext>
          </a:extLst>
        </xdr:cNvPr>
        <xdr:cNvSpPr>
          <a:spLocks noChangeAspect="1" noChangeArrowheads="1"/>
        </xdr:cNvSpPr>
      </xdr:nvSpPr>
      <xdr:spPr bwMode="auto">
        <a:xfrm>
          <a:off x="21145500" y="2094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39</xdr:row>
      <xdr:rowOff>0</xdr:rowOff>
    </xdr:from>
    <xdr:to>
      <xdr:col>7</xdr:col>
      <xdr:colOff>304800</xdr:colOff>
      <xdr:row>39</xdr:row>
      <xdr:rowOff>304800</xdr:rowOff>
    </xdr:to>
    <xdr:sp macro="" textlink="">
      <xdr:nvSpPr>
        <xdr:cNvPr id="1049" name="AutoShape 25" descr="empty star icon">
          <a:extLst>
            <a:ext uri="{FF2B5EF4-FFF2-40B4-BE49-F238E27FC236}">
              <a16:creationId xmlns:a16="http://schemas.microsoft.com/office/drawing/2014/main" id="{14C8A026-1790-BC30-6C0F-6341A2FB182C}"/>
            </a:ext>
          </a:extLst>
        </xdr:cNvPr>
        <xdr:cNvSpPr>
          <a:spLocks noChangeAspect="1" noChangeArrowheads="1"/>
        </xdr:cNvSpPr>
      </xdr:nvSpPr>
      <xdr:spPr bwMode="auto">
        <a:xfrm>
          <a:off x="21145500" y="2402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40</xdr:row>
      <xdr:rowOff>0</xdr:rowOff>
    </xdr:from>
    <xdr:to>
      <xdr:col>7</xdr:col>
      <xdr:colOff>304800</xdr:colOff>
      <xdr:row>40</xdr:row>
      <xdr:rowOff>304800</xdr:rowOff>
    </xdr:to>
    <xdr:sp macro="" textlink="">
      <xdr:nvSpPr>
        <xdr:cNvPr id="1050" name="AutoShape 26" descr="empty star icon">
          <a:extLst>
            <a:ext uri="{FF2B5EF4-FFF2-40B4-BE49-F238E27FC236}">
              <a16:creationId xmlns:a16="http://schemas.microsoft.com/office/drawing/2014/main" id="{BCC8E915-D0CF-548D-4F69-194FA3ABB8F1}"/>
            </a:ext>
          </a:extLst>
        </xdr:cNvPr>
        <xdr:cNvSpPr>
          <a:spLocks noChangeAspect="1" noChangeArrowheads="1"/>
        </xdr:cNvSpPr>
      </xdr:nvSpPr>
      <xdr:spPr bwMode="auto">
        <a:xfrm>
          <a:off x="21145500" y="246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41</xdr:row>
      <xdr:rowOff>0</xdr:rowOff>
    </xdr:from>
    <xdr:to>
      <xdr:col>7</xdr:col>
      <xdr:colOff>304800</xdr:colOff>
      <xdr:row>41</xdr:row>
      <xdr:rowOff>304800</xdr:rowOff>
    </xdr:to>
    <xdr:sp macro="" textlink="">
      <xdr:nvSpPr>
        <xdr:cNvPr id="1051" name="AutoShape 27" descr="empty star icon">
          <a:extLst>
            <a:ext uri="{FF2B5EF4-FFF2-40B4-BE49-F238E27FC236}">
              <a16:creationId xmlns:a16="http://schemas.microsoft.com/office/drawing/2014/main" id="{2B789B6F-ED60-981B-DD4E-D99F4E3D8166}"/>
            </a:ext>
          </a:extLst>
        </xdr:cNvPr>
        <xdr:cNvSpPr>
          <a:spLocks noChangeAspect="1" noChangeArrowheads="1"/>
        </xdr:cNvSpPr>
      </xdr:nvSpPr>
      <xdr:spPr bwMode="auto">
        <a:xfrm>
          <a:off x="21145500" y="2525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42</xdr:row>
      <xdr:rowOff>0</xdr:rowOff>
    </xdr:from>
    <xdr:to>
      <xdr:col>7</xdr:col>
      <xdr:colOff>304800</xdr:colOff>
      <xdr:row>42</xdr:row>
      <xdr:rowOff>304800</xdr:rowOff>
    </xdr:to>
    <xdr:sp macro="" textlink="">
      <xdr:nvSpPr>
        <xdr:cNvPr id="1052" name="AutoShape 28" descr="empty star icon">
          <a:extLst>
            <a:ext uri="{FF2B5EF4-FFF2-40B4-BE49-F238E27FC236}">
              <a16:creationId xmlns:a16="http://schemas.microsoft.com/office/drawing/2014/main" id="{065CF02C-92F9-E6D5-F736-DD90E3C34AB5}"/>
            </a:ext>
          </a:extLst>
        </xdr:cNvPr>
        <xdr:cNvSpPr>
          <a:spLocks noChangeAspect="1" noChangeArrowheads="1"/>
        </xdr:cNvSpPr>
      </xdr:nvSpPr>
      <xdr:spPr bwMode="auto">
        <a:xfrm>
          <a:off x="21145500" y="258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43</xdr:row>
      <xdr:rowOff>0</xdr:rowOff>
    </xdr:from>
    <xdr:to>
      <xdr:col>7</xdr:col>
      <xdr:colOff>304800</xdr:colOff>
      <xdr:row>43</xdr:row>
      <xdr:rowOff>304800</xdr:rowOff>
    </xdr:to>
    <xdr:sp macro="" textlink="">
      <xdr:nvSpPr>
        <xdr:cNvPr id="1053" name="AutoShape 29" descr="empty star icon">
          <a:extLst>
            <a:ext uri="{FF2B5EF4-FFF2-40B4-BE49-F238E27FC236}">
              <a16:creationId xmlns:a16="http://schemas.microsoft.com/office/drawing/2014/main" id="{5C8F0C13-408D-8CA8-3D09-9DE71DCDF15F}"/>
            </a:ext>
          </a:extLst>
        </xdr:cNvPr>
        <xdr:cNvSpPr>
          <a:spLocks noChangeAspect="1" noChangeArrowheads="1"/>
        </xdr:cNvSpPr>
      </xdr:nvSpPr>
      <xdr:spPr bwMode="auto">
        <a:xfrm>
          <a:off x="21145500" y="2648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44</xdr:row>
      <xdr:rowOff>0</xdr:rowOff>
    </xdr:from>
    <xdr:to>
      <xdr:col>7</xdr:col>
      <xdr:colOff>304800</xdr:colOff>
      <xdr:row>44</xdr:row>
      <xdr:rowOff>304800</xdr:rowOff>
    </xdr:to>
    <xdr:sp macro="" textlink="">
      <xdr:nvSpPr>
        <xdr:cNvPr id="1054" name="AutoShape 30" descr="empty star icon">
          <a:extLst>
            <a:ext uri="{FF2B5EF4-FFF2-40B4-BE49-F238E27FC236}">
              <a16:creationId xmlns:a16="http://schemas.microsoft.com/office/drawing/2014/main" id="{3F0C9C28-E2BE-4C12-64EB-F0CB93E61151}"/>
            </a:ext>
          </a:extLst>
        </xdr:cNvPr>
        <xdr:cNvSpPr>
          <a:spLocks noChangeAspect="1" noChangeArrowheads="1"/>
        </xdr:cNvSpPr>
      </xdr:nvSpPr>
      <xdr:spPr bwMode="auto">
        <a:xfrm>
          <a:off x="21145500" y="2710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45</xdr:row>
      <xdr:rowOff>0</xdr:rowOff>
    </xdr:from>
    <xdr:to>
      <xdr:col>7</xdr:col>
      <xdr:colOff>304800</xdr:colOff>
      <xdr:row>45</xdr:row>
      <xdr:rowOff>304800</xdr:rowOff>
    </xdr:to>
    <xdr:sp macro="" textlink="">
      <xdr:nvSpPr>
        <xdr:cNvPr id="1055" name="AutoShape 31" descr="empty star icon">
          <a:extLst>
            <a:ext uri="{FF2B5EF4-FFF2-40B4-BE49-F238E27FC236}">
              <a16:creationId xmlns:a16="http://schemas.microsoft.com/office/drawing/2014/main" id="{ECF2F0E7-80C3-9BA3-516A-1118ACBD4572}"/>
            </a:ext>
          </a:extLst>
        </xdr:cNvPr>
        <xdr:cNvSpPr>
          <a:spLocks noChangeAspect="1" noChangeArrowheads="1"/>
        </xdr:cNvSpPr>
      </xdr:nvSpPr>
      <xdr:spPr bwMode="auto">
        <a:xfrm>
          <a:off x="21145500" y="2771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46</xdr:row>
      <xdr:rowOff>0</xdr:rowOff>
    </xdr:from>
    <xdr:to>
      <xdr:col>7</xdr:col>
      <xdr:colOff>304800</xdr:colOff>
      <xdr:row>46</xdr:row>
      <xdr:rowOff>304800</xdr:rowOff>
    </xdr:to>
    <xdr:sp macro="" textlink="">
      <xdr:nvSpPr>
        <xdr:cNvPr id="1056" name="AutoShape 32" descr="empty star icon">
          <a:extLst>
            <a:ext uri="{FF2B5EF4-FFF2-40B4-BE49-F238E27FC236}">
              <a16:creationId xmlns:a16="http://schemas.microsoft.com/office/drawing/2014/main" id="{B0BE18E6-0BB0-02F6-59A1-21525631A87C}"/>
            </a:ext>
          </a:extLst>
        </xdr:cNvPr>
        <xdr:cNvSpPr>
          <a:spLocks noChangeAspect="1" noChangeArrowheads="1"/>
        </xdr:cNvSpPr>
      </xdr:nvSpPr>
      <xdr:spPr bwMode="auto">
        <a:xfrm>
          <a:off x="21145500" y="2833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47</xdr:row>
      <xdr:rowOff>0</xdr:rowOff>
    </xdr:from>
    <xdr:to>
      <xdr:col>7</xdr:col>
      <xdr:colOff>304800</xdr:colOff>
      <xdr:row>47</xdr:row>
      <xdr:rowOff>304800</xdr:rowOff>
    </xdr:to>
    <xdr:sp macro="" textlink="">
      <xdr:nvSpPr>
        <xdr:cNvPr id="1057" name="AutoShape 33" descr="empty star icon">
          <a:extLst>
            <a:ext uri="{FF2B5EF4-FFF2-40B4-BE49-F238E27FC236}">
              <a16:creationId xmlns:a16="http://schemas.microsoft.com/office/drawing/2014/main" id="{F2CAFE6A-AD35-E276-55E7-5BDCFB86B4C0}"/>
            </a:ext>
          </a:extLst>
        </xdr:cNvPr>
        <xdr:cNvSpPr>
          <a:spLocks noChangeAspect="1" noChangeArrowheads="1"/>
        </xdr:cNvSpPr>
      </xdr:nvSpPr>
      <xdr:spPr bwMode="auto">
        <a:xfrm>
          <a:off x="21145500" y="2894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304800</xdr:colOff>
      <xdr:row>2</xdr:row>
      <xdr:rowOff>120650</xdr:rowOff>
    </xdr:to>
    <xdr:sp macro="" textlink="">
      <xdr:nvSpPr>
        <xdr:cNvPr id="10241" name="AutoShape 1" descr="empty star icon">
          <a:extLst>
            <a:ext uri="{FF2B5EF4-FFF2-40B4-BE49-F238E27FC236}">
              <a16:creationId xmlns:a16="http://schemas.microsoft.com/office/drawing/2014/main" id="{3B1485D4-3CCC-9B3E-3954-4107856A041E}"/>
            </a:ext>
          </a:extLst>
        </xdr:cNvPr>
        <xdr:cNvSpPr>
          <a:spLocks noChangeAspect="1" noChangeArrowheads="1"/>
        </xdr:cNvSpPr>
      </xdr:nvSpPr>
      <xdr:spPr bwMode="auto">
        <a:xfrm>
          <a:off x="7321550" y="18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xdr:row>
      <xdr:rowOff>0</xdr:rowOff>
    </xdr:from>
    <xdr:to>
      <xdr:col>2</xdr:col>
      <xdr:colOff>304800</xdr:colOff>
      <xdr:row>3</xdr:row>
      <xdr:rowOff>120650</xdr:rowOff>
    </xdr:to>
    <xdr:sp macro="" textlink="">
      <xdr:nvSpPr>
        <xdr:cNvPr id="10242" name="AutoShape 2" descr="empty star icon">
          <a:extLst>
            <a:ext uri="{FF2B5EF4-FFF2-40B4-BE49-F238E27FC236}">
              <a16:creationId xmlns:a16="http://schemas.microsoft.com/office/drawing/2014/main" id="{EF18246B-9ADD-718D-BF15-AA5A8CC82600}"/>
            </a:ext>
          </a:extLst>
        </xdr:cNvPr>
        <xdr:cNvSpPr>
          <a:spLocks noChangeAspect="1" noChangeArrowheads="1"/>
        </xdr:cNvSpPr>
      </xdr:nvSpPr>
      <xdr:spPr bwMode="auto">
        <a:xfrm>
          <a:off x="7321550" y="43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xdr:row>
      <xdr:rowOff>0</xdr:rowOff>
    </xdr:from>
    <xdr:to>
      <xdr:col>2</xdr:col>
      <xdr:colOff>304800</xdr:colOff>
      <xdr:row>4</xdr:row>
      <xdr:rowOff>120650</xdr:rowOff>
    </xdr:to>
    <xdr:sp macro="" textlink="">
      <xdr:nvSpPr>
        <xdr:cNvPr id="10243" name="AutoShape 3" descr="empty star icon">
          <a:extLst>
            <a:ext uri="{FF2B5EF4-FFF2-40B4-BE49-F238E27FC236}">
              <a16:creationId xmlns:a16="http://schemas.microsoft.com/office/drawing/2014/main" id="{24E5D02D-C1C4-B5AF-B01D-1725B2CEF20D}"/>
            </a:ext>
          </a:extLst>
        </xdr:cNvPr>
        <xdr:cNvSpPr>
          <a:spLocks noChangeAspect="1" noChangeArrowheads="1"/>
        </xdr:cNvSpPr>
      </xdr:nvSpPr>
      <xdr:spPr bwMode="auto">
        <a:xfrm>
          <a:off x="7321550" y="69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120650</xdr:rowOff>
    </xdr:to>
    <xdr:sp macro="" textlink="">
      <xdr:nvSpPr>
        <xdr:cNvPr id="10244" name="AutoShape 4" descr="empty star icon">
          <a:extLst>
            <a:ext uri="{FF2B5EF4-FFF2-40B4-BE49-F238E27FC236}">
              <a16:creationId xmlns:a16="http://schemas.microsoft.com/office/drawing/2014/main" id="{A68D33B7-0C73-39B7-8114-18D633A14E0E}"/>
            </a:ext>
          </a:extLst>
        </xdr:cNvPr>
        <xdr:cNvSpPr>
          <a:spLocks noChangeAspect="1" noChangeArrowheads="1"/>
        </xdr:cNvSpPr>
      </xdr:nvSpPr>
      <xdr:spPr bwMode="auto">
        <a:xfrm>
          <a:off x="7321550" y="94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120650</xdr:rowOff>
    </xdr:to>
    <xdr:sp macro="" textlink="">
      <xdr:nvSpPr>
        <xdr:cNvPr id="10245" name="AutoShape 5" descr="empty star icon">
          <a:extLst>
            <a:ext uri="{FF2B5EF4-FFF2-40B4-BE49-F238E27FC236}">
              <a16:creationId xmlns:a16="http://schemas.microsoft.com/office/drawing/2014/main" id="{E7ABDB07-E1C5-6984-AFC3-186E1DFE22B2}"/>
            </a:ext>
          </a:extLst>
        </xdr:cNvPr>
        <xdr:cNvSpPr>
          <a:spLocks noChangeAspect="1" noChangeArrowheads="1"/>
        </xdr:cNvSpPr>
      </xdr:nvSpPr>
      <xdr:spPr bwMode="auto">
        <a:xfrm>
          <a:off x="7321550" y="120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120650</xdr:rowOff>
    </xdr:to>
    <xdr:sp macro="" textlink="">
      <xdr:nvSpPr>
        <xdr:cNvPr id="10246" name="AutoShape 6" descr="empty star icon">
          <a:extLst>
            <a:ext uri="{FF2B5EF4-FFF2-40B4-BE49-F238E27FC236}">
              <a16:creationId xmlns:a16="http://schemas.microsoft.com/office/drawing/2014/main" id="{FFAA152E-B63F-643D-45E5-506D377E7F29}"/>
            </a:ext>
          </a:extLst>
        </xdr:cNvPr>
        <xdr:cNvSpPr>
          <a:spLocks noChangeAspect="1" noChangeArrowheads="1"/>
        </xdr:cNvSpPr>
      </xdr:nvSpPr>
      <xdr:spPr bwMode="auto">
        <a:xfrm>
          <a:off x="7321550" y="145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120650</xdr:rowOff>
    </xdr:to>
    <xdr:sp macro="" textlink="">
      <xdr:nvSpPr>
        <xdr:cNvPr id="10247" name="AutoShape 7" descr="empty star icon">
          <a:extLst>
            <a:ext uri="{FF2B5EF4-FFF2-40B4-BE49-F238E27FC236}">
              <a16:creationId xmlns:a16="http://schemas.microsoft.com/office/drawing/2014/main" id="{FD4CC9EC-0380-3544-45C2-1766AB4A015B}"/>
            </a:ext>
          </a:extLst>
        </xdr:cNvPr>
        <xdr:cNvSpPr>
          <a:spLocks noChangeAspect="1" noChangeArrowheads="1"/>
        </xdr:cNvSpPr>
      </xdr:nvSpPr>
      <xdr:spPr bwMode="auto">
        <a:xfrm>
          <a:off x="7321550" y="163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9</xdr:row>
      <xdr:rowOff>120650</xdr:rowOff>
    </xdr:to>
    <xdr:sp macro="" textlink="">
      <xdr:nvSpPr>
        <xdr:cNvPr id="10248" name="AutoShape 8" descr="empty star icon">
          <a:extLst>
            <a:ext uri="{FF2B5EF4-FFF2-40B4-BE49-F238E27FC236}">
              <a16:creationId xmlns:a16="http://schemas.microsoft.com/office/drawing/2014/main" id="{19B10FC0-A37B-29AF-261D-898C867BFC36}"/>
            </a:ext>
          </a:extLst>
        </xdr:cNvPr>
        <xdr:cNvSpPr>
          <a:spLocks noChangeAspect="1" noChangeArrowheads="1"/>
        </xdr:cNvSpPr>
      </xdr:nvSpPr>
      <xdr:spPr bwMode="auto">
        <a:xfrm>
          <a:off x="7321550" y="189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304800</xdr:colOff>
      <xdr:row>10</xdr:row>
      <xdr:rowOff>120650</xdr:rowOff>
    </xdr:to>
    <xdr:sp macro="" textlink="">
      <xdr:nvSpPr>
        <xdr:cNvPr id="10249" name="AutoShape 9" descr="empty star icon">
          <a:extLst>
            <a:ext uri="{FF2B5EF4-FFF2-40B4-BE49-F238E27FC236}">
              <a16:creationId xmlns:a16="http://schemas.microsoft.com/office/drawing/2014/main" id="{9DCCF67F-4835-DC4B-6FFE-112026F9C112}"/>
            </a:ext>
          </a:extLst>
        </xdr:cNvPr>
        <xdr:cNvSpPr>
          <a:spLocks noChangeAspect="1" noChangeArrowheads="1"/>
        </xdr:cNvSpPr>
      </xdr:nvSpPr>
      <xdr:spPr bwMode="auto">
        <a:xfrm>
          <a:off x="7321550" y="214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xdr:row>
      <xdr:rowOff>0</xdr:rowOff>
    </xdr:from>
    <xdr:to>
      <xdr:col>2</xdr:col>
      <xdr:colOff>304800</xdr:colOff>
      <xdr:row>11</xdr:row>
      <xdr:rowOff>120650</xdr:rowOff>
    </xdr:to>
    <xdr:sp macro="" textlink="">
      <xdr:nvSpPr>
        <xdr:cNvPr id="10250" name="AutoShape 10" descr="empty star icon">
          <a:extLst>
            <a:ext uri="{FF2B5EF4-FFF2-40B4-BE49-F238E27FC236}">
              <a16:creationId xmlns:a16="http://schemas.microsoft.com/office/drawing/2014/main" id="{F6EE06DE-BA0E-4253-637B-55D129786607}"/>
            </a:ext>
          </a:extLst>
        </xdr:cNvPr>
        <xdr:cNvSpPr>
          <a:spLocks noChangeAspect="1" noChangeArrowheads="1"/>
        </xdr:cNvSpPr>
      </xdr:nvSpPr>
      <xdr:spPr bwMode="auto">
        <a:xfrm>
          <a:off x="7321550" y="240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11</xdr:row>
      <xdr:rowOff>0</xdr:rowOff>
    </xdr:from>
    <xdr:to>
      <xdr:col>2</xdr:col>
      <xdr:colOff>304800</xdr:colOff>
      <xdr:row>12</xdr:row>
      <xdr:rowOff>120650</xdr:rowOff>
    </xdr:to>
    <xdr:sp macro="" textlink="">
      <xdr:nvSpPr>
        <xdr:cNvPr id="10251" name="AutoShape 11" descr="empty star icon">
          <a:extLst>
            <a:ext uri="{FF2B5EF4-FFF2-40B4-BE49-F238E27FC236}">
              <a16:creationId xmlns:a16="http://schemas.microsoft.com/office/drawing/2014/main" id="{CF12624A-83F2-78D9-769B-1E1757AC2B64}"/>
            </a:ext>
          </a:extLst>
        </xdr:cNvPr>
        <xdr:cNvSpPr>
          <a:spLocks noChangeAspect="1" noChangeArrowheads="1"/>
        </xdr:cNvSpPr>
      </xdr:nvSpPr>
      <xdr:spPr bwMode="auto">
        <a:xfrm>
          <a:off x="7321550" y="265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xdr:row>
      <xdr:rowOff>0</xdr:rowOff>
    </xdr:from>
    <xdr:to>
      <xdr:col>2</xdr:col>
      <xdr:colOff>304800</xdr:colOff>
      <xdr:row>13</xdr:row>
      <xdr:rowOff>120650</xdr:rowOff>
    </xdr:to>
    <xdr:sp macro="" textlink="">
      <xdr:nvSpPr>
        <xdr:cNvPr id="10252" name="AutoShape 12" descr="empty star icon">
          <a:extLst>
            <a:ext uri="{FF2B5EF4-FFF2-40B4-BE49-F238E27FC236}">
              <a16:creationId xmlns:a16="http://schemas.microsoft.com/office/drawing/2014/main" id="{3DC0EFE5-7078-49C1-08D1-C430C454E056}"/>
            </a:ext>
          </a:extLst>
        </xdr:cNvPr>
        <xdr:cNvSpPr>
          <a:spLocks noChangeAspect="1" noChangeArrowheads="1"/>
        </xdr:cNvSpPr>
      </xdr:nvSpPr>
      <xdr:spPr bwMode="auto">
        <a:xfrm>
          <a:off x="7321550" y="290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13</xdr:row>
      <xdr:rowOff>0</xdr:rowOff>
    </xdr:from>
    <xdr:to>
      <xdr:col>2</xdr:col>
      <xdr:colOff>304800</xdr:colOff>
      <xdr:row>14</xdr:row>
      <xdr:rowOff>120650</xdr:rowOff>
    </xdr:to>
    <xdr:sp macro="" textlink="">
      <xdr:nvSpPr>
        <xdr:cNvPr id="10253" name="AutoShape 13" descr="empty star icon">
          <a:extLst>
            <a:ext uri="{FF2B5EF4-FFF2-40B4-BE49-F238E27FC236}">
              <a16:creationId xmlns:a16="http://schemas.microsoft.com/office/drawing/2014/main" id="{967BC589-1BCC-FE92-C373-381F06F5B42C}"/>
            </a:ext>
          </a:extLst>
        </xdr:cNvPr>
        <xdr:cNvSpPr>
          <a:spLocks noChangeAspect="1" noChangeArrowheads="1"/>
        </xdr:cNvSpPr>
      </xdr:nvSpPr>
      <xdr:spPr bwMode="auto">
        <a:xfrm>
          <a:off x="732155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14</xdr:row>
      <xdr:rowOff>0</xdr:rowOff>
    </xdr:from>
    <xdr:to>
      <xdr:col>2</xdr:col>
      <xdr:colOff>304800</xdr:colOff>
      <xdr:row>15</xdr:row>
      <xdr:rowOff>120650</xdr:rowOff>
    </xdr:to>
    <xdr:sp macro="" textlink="">
      <xdr:nvSpPr>
        <xdr:cNvPr id="10254" name="AutoShape 14" descr="empty star icon">
          <a:extLst>
            <a:ext uri="{FF2B5EF4-FFF2-40B4-BE49-F238E27FC236}">
              <a16:creationId xmlns:a16="http://schemas.microsoft.com/office/drawing/2014/main" id="{F7EFE8F6-5DFE-D2C1-7109-9CED3F7F98ED}"/>
            </a:ext>
          </a:extLst>
        </xdr:cNvPr>
        <xdr:cNvSpPr>
          <a:spLocks noChangeAspect="1" noChangeArrowheads="1"/>
        </xdr:cNvSpPr>
      </xdr:nvSpPr>
      <xdr:spPr bwMode="auto">
        <a:xfrm>
          <a:off x="7321550" y="341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15</xdr:row>
      <xdr:rowOff>0</xdr:rowOff>
    </xdr:from>
    <xdr:to>
      <xdr:col>2</xdr:col>
      <xdr:colOff>304800</xdr:colOff>
      <xdr:row>16</xdr:row>
      <xdr:rowOff>120650</xdr:rowOff>
    </xdr:to>
    <xdr:sp macro="" textlink="">
      <xdr:nvSpPr>
        <xdr:cNvPr id="10255" name="AutoShape 15" descr="empty star icon">
          <a:extLst>
            <a:ext uri="{FF2B5EF4-FFF2-40B4-BE49-F238E27FC236}">
              <a16:creationId xmlns:a16="http://schemas.microsoft.com/office/drawing/2014/main" id="{A87D84DA-76C6-7B42-E42F-CE3BA4FE390B}"/>
            </a:ext>
          </a:extLst>
        </xdr:cNvPr>
        <xdr:cNvSpPr>
          <a:spLocks noChangeAspect="1" noChangeArrowheads="1"/>
        </xdr:cNvSpPr>
      </xdr:nvSpPr>
      <xdr:spPr bwMode="auto">
        <a:xfrm>
          <a:off x="732155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16</xdr:row>
      <xdr:rowOff>0</xdr:rowOff>
    </xdr:from>
    <xdr:to>
      <xdr:col>2</xdr:col>
      <xdr:colOff>304800</xdr:colOff>
      <xdr:row>17</xdr:row>
      <xdr:rowOff>120650</xdr:rowOff>
    </xdr:to>
    <xdr:sp macro="" textlink="">
      <xdr:nvSpPr>
        <xdr:cNvPr id="10256" name="AutoShape 16" descr="empty star icon">
          <a:extLst>
            <a:ext uri="{FF2B5EF4-FFF2-40B4-BE49-F238E27FC236}">
              <a16:creationId xmlns:a16="http://schemas.microsoft.com/office/drawing/2014/main" id="{99DEA5A0-114A-A6C1-D9FE-AB1E84B694C7}"/>
            </a:ext>
          </a:extLst>
        </xdr:cNvPr>
        <xdr:cNvSpPr>
          <a:spLocks noChangeAspect="1" noChangeArrowheads="1"/>
        </xdr:cNvSpPr>
      </xdr:nvSpPr>
      <xdr:spPr bwMode="auto">
        <a:xfrm>
          <a:off x="7321550" y="405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17</xdr:row>
      <xdr:rowOff>0</xdr:rowOff>
    </xdr:from>
    <xdr:to>
      <xdr:col>2</xdr:col>
      <xdr:colOff>304800</xdr:colOff>
      <xdr:row>18</xdr:row>
      <xdr:rowOff>120650</xdr:rowOff>
    </xdr:to>
    <xdr:sp macro="" textlink="">
      <xdr:nvSpPr>
        <xdr:cNvPr id="10257" name="AutoShape 17" descr="empty star icon">
          <a:extLst>
            <a:ext uri="{FF2B5EF4-FFF2-40B4-BE49-F238E27FC236}">
              <a16:creationId xmlns:a16="http://schemas.microsoft.com/office/drawing/2014/main" id="{347EB4A6-111D-829F-8C79-F55CBCC47B28}"/>
            </a:ext>
          </a:extLst>
        </xdr:cNvPr>
        <xdr:cNvSpPr>
          <a:spLocks noChangeAspect="1" noChangeArrowheads="1"/>
        </xdr:cNvSpPr>
      </xdr:nvSpPr>
      <xdr:spPr bwMode="auto">
        <a:xfrm>
          <a:off x="7321550" y="430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18</xdr:row>
      <xdr:rowOff>0</xdr:rowOff>
    </xdr:from>
    <xdr:to>
      <xdr:col>2</xdr:col>
      <xdr:colOff>304800</xdr:colOff>
      <xdr:row>19</xdr:row>
      <xdr:rowOff>120650</xdr:rowOff>
    </xdr:to>
    <xdr:sp macro="" textlink="">
      <xdr:nvSpPr>
        <xdr:cNvPr id="10258" name="AutoShape 18" descr="empty star icon">
          <a:extLst>
            <a:ext uri="{FF2B5EF4-FFF2-40B4-BE49-F238E27FC236}">
              <a16:creationId xmlns:a16="http://schemas.microsoft.com/office/drawing/2014/main" id="{3B2E0736-14AA-EC74-B35D-7EC40C45CCFC}"/>
            </a:ext>
          </a:extLst>
        </xdr:cNvPr>
        <xdr:cNvSpPr>
          <a:spLocks noChangeAspect="1" noChangeArrowheads="1"/>
        </xdr:cNvSpPr>
      </xdr:nvSpPr>
      <xdr:spPr bwMode="auto">
        <a:xfrm>
          <a:off x="7321550" y="468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19</xdr:row>
      <xdr:rowOff>0</xdr:rowOff>
    </xdr:from>
    <xdr:to>
      <xdr:col>2</xdr:col>
      <xdr:colOff>304800</xdr:colOff>
      <xdr:row>20</xdr:row>
      <xdr:rowOff>120650</xdr:rowOff>
    </xdr:to>
    <xdr:sp macro="" textlink="">
      <xdr:nvSpPr>
        <xdr:cNvPr id="10259" name="AutoShape 19" descr="empty star icon">
          <a:extLst>
            <a:ext uri="{FF2B5EF4-FFF2-40B4-BE49-F238E27FC236}">
              <a16:creationId xmlns:a16="http://schemas.microsoft.com/office/drawing/2014/main" id="{5A7EBEF1-8126-066E-4209-E460840836E6}"/>
            </a:ext>
          </a:extLst>
        </xdr:cNvPr>
        <xdr:cNvSpPr>
          <a:spLocks noChangeAspect="1" noChangeArrowheads="1"/>
        </xdr:cNvSpPr>
      </xdr:nvSpPr>
      <xdr:spPr bwMode="auto">
        <a:xfrm>
          <a:off x="7321550" y="519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20</xdr:row>
      <xdr:rowOff>0</xdr:rowOff>
    </xdr:from>
    <xdr:to>
      <xdr:col>2</xdr:col>
      <xdr:colOff>304800</xdr:colOff>
      <xdr:row>21</xdr:row>
      <xdr:rowOff>120650</xdr:rowOff>
    </xdr:to>
    <xdr:sp macro="" textlink="">
      <xdr:nvSpPr>
        <xdr:cNvPr id="10260" name="AutoShape 20" descr="empty star icon">
          <a:extLst>
            <a:ext uri="{FF2B5EF4-FFF2-40B4-BE49-F238E27FC236}">
              <a16:creationId xmlns:a16="http://schemas.microsoft.com/office/drawing/2014/main" id="{1DCBB11A-7530-8387-365F-7E3C4B20DE31}"/>
            </a:ext>
          </a:extLst>
        </xdr:cNvPr>
        <xdr:cNvSpPr>
          <a:spLocks noChangeAspect="1" noChangeArrowheads="1"/>
        </xdr:cNvSpPr>
      </xdr:nvSpPr>
      <xdr:spPr bwMode="auto">
        <a:xfrm>
          <a:off x="7321550" y="557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21</xdr:row>
      <xdr:rowOff>0</xdr:rowOff>
    </xdr:from>
    <xdr:to>
      <xdr:col>2</xdr:col>
      <xdr:colOff>304800</xdr:colOff>
      <xdr:row>22</xdr:row>
      <xdr:rowOff>120650</xdr:rowOff>
    </xdr:to>
    <xdr:sp macro="" textlink="">
      <xdr:nvSpPr>
        <xdr:cNvPr id="10261" name="AutoShape 21" descr="empty star icon">
          <a:extLst>
            <a:ext uri="{FF2B5EF4-FFF2-40B4-BE49-F238E27FC236}">
              <a16:creationId xmlns:a16="http://schemas.microsoft.com/office/drawing/2014/main" id="{0F3852CB-B092-AAE6-C460-5D686C2E3B09}"/>
            </a:ext>
          </a:extLst>
        </xdr:cNvPr>
        <xdr:cNvSpPr>
          <a:spLocks noChangeAspect="1" noChangeArrowheads="1"/>
        </xdr:cNvSpPr>
      </xdr:nvSpPr>
      <xdr:spPr bwMode="auto">
        <a:xfrm>
          <a:off x="7321550" y="582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xdr:row>
      <xdr:rowOff>0</xdr:rowOff>
    </xdr:from>
    <xdr:to>
      <xdr:col>2</xdr:col>
      <xdr:colOff>304800</xdr:colOff>
      <xdr:row>23</xdr:row>
      <xdr:rowOff>120650</xdr:rowOff>
    </xdr:to>
    <xdr:sp macro="" textlink="">
      <xdr:nvSpPr>
        <xdr:cNvPr id="10262" name="AutoShape 22" descr="empty star icon">
          <a:extLst>
            <a:ext uri="{FF2B5EF4-FFF2-40B4-BE49-F238E27FC236}">
              <a16:creationId xmlns:a16="http://schemas.microsoft.com/office/drawing/2014/main" id="{67268397-B176-686C-B1DE-5BF173D97E03}"/>
            </a:ext>
          </a:extLst>
        </xdr:cNvPr>
        <xdr:cNvSpPr>
          <a:spLocks noChangeAspect="1" noChangeArrowheads="1"/>
        </xdr:cNvSpPr>
      </xdr:nvSpPr>
      <xdr:spPr bwMode="auto">
        <a:xfrm>
          <a:off x="7321550" y="608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23</xdr:row>
      <xdr:rowOff>0</xdr:rowOff>
    </xdr:from>
    <xdr:to>
      <xdr:col>2</xdr:col>
      <xdr:colOff>304800</xdr:colOff>
      <xdr:row>24</xdr:row>
      <xdr:rowOff>120650</xdr:rowOff>
    </xdr:to>
    <xdr:sp macro="" textlink="">
      <xdr:nvSpPr>
        <xdr:cNvPr id="10263" name="AutoShape 23" descr="empty star icon">
          <a:extLst>
            <a:ext uri="{FF2B5EF4-FFF2-40B4-BE49-F238E27FC236}">
              <a16:creationId xmlns:a16="http://schemas.microsoft.com/office/drawing/2014/main" id="{861F0336-3237-3E1F-28E0-79DC295CBA61}"/>
            </a:ext>
          </a:extLst>
        </xdr:cNvPr>
        <xdr:cNvSpPr>
          <a:spLocks noChangeAspect="1" noChangeArrowheads="1"/>
        </xdr:cNvSpPr>
      </xdr:nvSpPr>
      <xdr:spPr bwMode="auto">
        <a:xfrm>
          <a:off x="7321550" y="633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24</xdr:row>
      <xdr:rowOff>0</xdr:rowOff>
    </xdr:from>
    <xdr:to>
      <xdr:col>2</xdr:col>
      <xdr:colOff>304800</xdr:colOff>
      <xdr:row>25</xdr:row>
      <xdr:rowOff>120650</xdr:rowOff>
    </xdr:to>
    <xdr:sp macro="" textlink="">
      <xdr:nvSpPr>
        <xdr:cNvPr id="10264" name="AutoShape 24" descr="empty star icon">
          <a:extLst>
            <a:ext uri="{FF2B5EF4-FFF2-40B4-BE49-F238E27FC236}">
              <a16:creationId xmlns:a16="http://schemas.microsoft.com/office/drawing/2014/main" id="{334D0CB7-A8FB-92C9-4976-75C90D555DE2}"/>
            </a:ext>
          </a:extLst>
        </xdr:cNvPr>
        <xdr:cNvSpPr>
          <a:spLocks noChangeAspect="1" noChangeArrowheads="1"/>
        </xdr:cNvSpPr>
      </xdr:nvSpPr>
      <xdr:spPr bwMode="auto">
        <a:xfrm>
          <a:off x="7321550" y="659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25</xdr:row>
      <xdr:rowOff>0</xdr:rowOff>
    </xdr:from>
    <xdr:to>
      <xdr:col>2</xdr:col>
      <xdr:colOff>304800</xdr:colOff>
      <xdr:row>26</xdr:row>
      <xdr:rowOff>120650</xdr:rowOff>
    </xdr:to>
    <xdr:sp macro="" textlink="">
      <xdr:nvSpPr>
        <xdr:cNvPr id="10265" name="AutoShape 25" descr="empty star icon">
          <a:extLst>
            <a:ext uri="{FF2B5EF4-FFF2-40B4-BE49-F238E27FC236}">
              <a16:creationId xmlns:a16="http://schemas.microsoft.com/office/drawing/2014/main" id="{9FF7A184-87CF-38A6-BAC4-6993533CCECA}"/>
            </a:ext>
          </a:extLst>
        </xdr:cNvPr>
        <xdr:cNvSpPr>
          <a:spLocks noChangeAspect="1" noChangeArrowheads="1"/>
        </xdr:cNvSpPr>
      </xdr:nvSpPr>
      <xdr:spPr bwMode="auto">
        <a:xfrm>
          <a:off x="7321550" y="697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26</xdr:row>
      <xdr:rowOff>0</xdr:rowOff>
    </xdr:from>
    <xdr:to>
      <xdr:col>2</xdr:col>
      <xdr:colOff>304800</xdr:colOff>
      <xdr:row>27</xdr:row>
      <xdr:rowOff>120650</xdr:rowOff>
    </xdr:to>
    <xdr:sp macro="" textlink="">
      <xdr:nvSpPr>
        <xdr:cNvPr id="10266" name="AutoShape 26" descr="empty star icon">
          <a:extLst>
            <a:ext uri="{FF2B5EF4-FFF2-40B4-BE49-F238E27FC236}">
              <a16:creationId xmlns:a16="http://schemas.microsoft.com/office/drawing/2014/main" id="{BAEE5B1F-4EDC-9D9A-61F2-FBED92B662A0}"/>
            </a:ext>
          </a:extLst>
        </xdr:cNvPr>
        <xdr:cNvSpPr>
          <a:spLocks noChangeAspect="1" noChangeArrowheads="1"/>
        </xdr:cNvSpPr>
      </xdr:nvSpPr>
      <xdr:spPr bwMode="auto">
        <a:xfrm>
          <a:off x="7321550" y="72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27</xdr:row>
      <xdr:rowOff>0</xdr:rowOff>
    </xdr:from>
    <xdr:to>
      <xdr:col>2</xdr:col>
      <xdr:colOff>304800</xdr:colOff>
      <xdr:row>28</xdr:row>
      <xdr:rowOff>120650</xdr:rowOff>
    </xdr:to>
    <xdr:sp macro="" textlink="">
      <xdr:nvSpPr>
        <xdr:cNvPr id="10267" name="AutoShape 27" descr="empty star icon">
          <a:extLst>
            <a:ext uri="{FF2B5EF4-FFF2-40B4-BE49-F238E27FC236}">
              <a16:creationId xmlns:a16="http://schemas.microsoft.com/office/drawing/2014/main" id="{5B65DE37-9CD0-5A65-66A9-A2738FED52B1}"/>
            </a:ext>
          </a:extLst>
        </xdr:cNvPr>
        <xdr:cNvSpPr>
          <a:spLocks noChangeAspect="1" noChangeArrowheads="1"/>
        </xdr:cNvSpPr>
      </xdr:nvSpPr>
      <xdr:spPr bwMode="auto">
        <a:xfrm>
          <a:off x="7321550" y="748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28</xdr:row>
      <xdr:rowOff>0</xdr:rowOff>
    </xdr:from>
    <xdr:to>
      <xdr:col>2</xdr:col>
      <xdr:colOff>304800</xdr:colOff>
      <xdr:row>29</xdr:row>
      <xdr:rowOff>120650</xdr:rowOff>
    </xdr:to>
    <xdr:sp macro="" textlink="">
      <xdr:nvSpPr>
        <xdr:cNvPr id="10268" name="AutoShape 28" descr="empty star icon">
          <a:extLst>
            <a:ext uri="{FF2B5EF4-FFF2-40B4-BE49-F238E27FC236}">
              <a16:creationId xmlns:a16="http://schemas.microsoft.com/office/drawing/2014/main" id="{14AF18F4-4EB2-FD4A-3875-FBE7001E0AF8}"/>
            </a:ext>
          </a:extLst>
        </xdr:cNvPr>
        <xdr:cNvSpPr>
          <a:spLocks noChangeAspect="1" noChangeArrowheads="1"/>
        </xdr:cNvSpPr>
      </xdr:nvSpPr>
      <xdr:spPr bwMode="auto">
        <a:xfrm>
          <a:off x="7321550" y="766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29</xdr:row>
      <xdr:rowOff>0</xdr:rowOff>
    </xdr:from>
    <xdr:to>
      <xdr:col>2</xdr:col>
      <xdr:colOff>304800</xdr:colOff>
      <xdr:row>30</xdr:row>
      <xdr:rowOff>50800</xdr:rowOff>
    </xdr:to>
    <xdr:sp macro="" textlink="">
      <xdr:nvSpPr>
        <xdr:cNvPr id="10269" name="AutoShape 29" descr="empty star icon">
          <a:extLst>
            <a:ext uri="{FF2B5EF4-FFF2-40B4-BE49-F238E27FC236}">
              <a16:creationId xmlns:a16="http://schemas.microsoft.com/office/drawing/2014/main" id="{A21CFFF7-BAE5-D6C8-420B-9A68DF91EAB2}"/>
            </a:ext>
          </a:extLst>
        </xdr:cNvPr>
        <xdr:cNvSpPr>
          <a:spLocks noChangeAspect="1" noChangeArrowheads="1"/>
        </xdr:cNvSpPr>
      </xdr:nvSpPr>
      <xdr:spPr bwMode="auto">
        <a:xfrm>
          <a:off x="7321550" y="791845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30</xdr:row>
      <xdr:rowOff>0</xdr:rowOff>
    </xdr:from>
    <xdr:to>
      <xdr:col>2</xdr:col>
      <xdr:colOff>304800</xdr:colOff>
      <xdr:row>31</xdr:row>
      <xdr:rowOff>120650</xdr:rowOff>
    </xdr:to>
    <xdr:sp macro="" textlink="">
      <xdr:nvSpPr>
        <xdr:cNvPr id="10270" name="AutoShape 30" descr="empty star icon">
          <a:extLst>
            <a:ext uri="{FF2B5EF4-FFF2-40B4-BE49-F238E27FC236}">
              <a16:creationId xmlns:a16="http://schemas.microsoft.com/office/drawing/2014/main" id="{73CA5F18-2DDC-1185-1CCE-D89DCFB04C33}"/>
            </a:ext>
          </a:extLst>
        </xdr:cNvPr>
        <xdr:cNvSpPr>
          <a:spLocks noChangeAspect="1" noChangeArrowheads="1"/>
        </xdr:cNvSpPr>
      </xdr:nvSpPr>
      <xdr:spPr bwMode="auto">
        <a:xfrm>
          <a:off x="7321550" y="810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31</xdr:row>
      <xdr:rowOff>0</xdr:rowOff>
    </xdr:from>
    <xdr:to>
      <xdr:col>2</xdr:col>
      <xdr:colOff>304800</xdr:colOff>
      <xdr:row>32</xdr:row>
      <xdr:rowOff>69850</xdr:rowOff>
    </xdr:to>
    <xdr:sp macro="" textlink="">
      <xdr:nvSpPr>
        <xdr:cNvPr id="10271" name="AutoShape 31" descr="empty star icon">
          <a:extLst>
            <a:ext uri="{FF2B5EF4-FFF2-40B4-BE49-F238E27FC236}">
              <a16:creationId xmlns:a16="http://schemas.microsoft.com/office/drawing/2014/main" id="{1148709F-7D21-7DF3-96D5-F3065C626C0B}"/>
            </a:ext>
          </a:extLst>
        </xdr:cNvPr>
        <xdr:cNvSpPr>
          <a:spLocks noChangeAspect="1" noChangeArrowheads="1"/>
        </xdr:cNvSpPr>
      </xdr:nvSpPr>
      <xdr:spPr bwMode="auto">
        <a:xfrm>
          <a:off x="7321550" y="8286750"/>
          <a:ext cx="304800" cy="25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32</xdr:row>
      <xdr:rowOff>0</xdr:rowOff>
    </xdr:from>
    <xdr:to>
      <xdr:col>2</xdr:col>
      <xdr:colOff>304800</xdr:colOff>
      <xdr:row>33</xdr:row>
      <xdr:rowOff>120650</xdr:rowOff>
    </xdr:to>
    <xdr:sp macro="" textlink="">
      <xdr:nvSpPr>
        <xdr:cNvPr id="10272" name="AutoShape 32" descr="empty star icon">
          <a:extLst>
            <a:ext uri="{FF2B5EF4-FFF2-40B4-BE49-F238E27FC236}">
              <a16:creationId xmlns:a16="http://schemas.microsoft.com/office/drawing/2014/main" id="{4423C326-EA96-BEE9-E111-056B34AE4E1B}"/>
            </a:ext>
          </a:extLst>
        </xdr:cNvPr>
        <xdr:cNvSpPr>
          <a:spLocks noChangeAspect="1" noChangeArrowheads="1"/>
        </xdr:cNvSpPr>
      </xdr:nvSpPr>
      <xdr:spPr bwMode="auto">
        <a:xfrm>
          <a:off x="7321550" y="854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33</xdr:row>
      <xdr:rowOff>0</xdr:rowOff>
    </xdr:from>
    <xdr:to>
      <xdr:col>2</xdr:col>
      <xdr:colOff>304800</xdr:colOff>
      <xdr:row>34</xdr:row>
      <xdr:rowOff>120650</xdr:rowOff>
    </xdr:to>
    <xdr:sp macro="" textlink="">
      <xdr:nvSpPr>
        <xdr:cNvPr id="10273" name="AutoShape 33" descr="empty star icon">
          <a:extLst>
            <a:ext uri="{FF2B5EF4-FFF2-40B4-BE49-F238E27FC236}">
              <a16:creationId xmlns:a16="http://schemas.microsoft.com/office/drawing/2014/main" id="{2EA9A37D-0179-B47D-0476-FD44EBB3A842}"/>
            </a:ext>
          </a:extLst>
        </xdr:cNvPr>
        <xdr:cNvSpPr>
          <a:spLocks noChangeAspect="1" noChangeArrowheads="1"/>
        </xdr:cNvSpPr>
      </xdr:nvSpPr>
      <xdr:spPr bwMode="auto">
        <a:xfrm>
          <a:off x="7321550" y="879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34</xdr:row>
      <xdr:rowOff>0</xdr:rowOff>
    </xdr:from>
    <xdr:to>
      <xdr:col>2</xdr:col>
      <xdr:colOff>304800</xdr:colOff>
      <xdr:row>35</xdr:row>
      <xdr:rowOff>120650</xdr:rowOff>
    </xdr:to>
    <xdr:sp macro="" textlink="">
      <xdr:nvSpPr>
        <xdr:cNvPr id="10274" name="AutoShape 34" descr="empty star icon">
          <a:extLst>
            <a:ext uri="{FF2B5EF4-FFF2-40B4-BE49-F238E27FC236}">
              <a16:creationId xmlns:a16="http://schemas.microsoft.com/office/drawing/2014/main" id="{7FFD8531-A1E3-C1AE-11FA-084E16F2D62C}"/>
            </a:ext>
          </a:extLst>
        </xdr:cNvPr>
        <xdr:cNvSpPr>
          <a:spLocks noChangeAspect="1" noChangeArrowheads="1"/>
        </xdr:cNvSpPr>
      </xdr:nvSpPr>
      <xdr:spPr bwMode="auto">
        <a:xfrm>
          <a:off x="7321550" y="904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35</xdr:row>
      <xdr:rowOff>0</xdr:rowOff>
    </xdr:from>
    <xdr:to>
      <xdr:col>2</xdr:col>
      <xdr:colOff>304800</xdr:colOff>
      <xdr:row>36</xdr:row>
      <xdr:rowOff>120650</xdr:rowOff>
    </xdr:to>
    <xdr:sp macro="" textlink="">
      <xdr:nvSpPr>
        <xdr:cNvPr id="10275" name="AutoShape 35" descr="empty star icon">
          <a:extLst>
            <a:ext uri="{FF2B5EF4-FFF2-40B4-BE49-F238E27FC236}">
              <a16:creationId xmlns:a16="http://schemas.microsoft.com/office/drawing/2014/main" id="{98354228-E749-6AE3-A12C-7B334DA23BF2}"/>
            </a:ext>
          </a:extLst>
        </xdr:cNvPr>
        <xdr:cNvSpPr>
          <a:spLocks noChangeAspect="1" noChangeArrowheads="1"/>
        </xdr:cNvSpPr>
      </xdr:nvSpPr>
      <xdr:spPr bwMode="auto">
        <a:xfrm>
          <a:off x="7321550" y="93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36</xdr:row>
      <xdr:rowOff>0</xdr:rowOff>
    </xdr:from>
    <xdr:to>
      <xdr:col>2</xdr:col>
      <xdr:colOff>304800</xdr:colOff>
      <xdr:row>37</xdr:row>
      <xdr:rowOff>120650</xdr:rowOff>
    </xdr:to>
    <xdr:sp macro="" textlink="">
      <xdr:nvSpPr>
        <xdr:cNvPr id="10276" name="AutoShape 36" descr="empty star icon">
          <a:extLst>
            <a:ext uri="{FF2B5EF4-FFF2-40B4-BE49-F238E27FC236}">
              <a16:creationId xmlns:a16="http://schemas.microsoft.com/office/drawing/2014/main" id="{0F789941-07D1-2B0F-9C00-8DAC89D443ED}"/>
            </a:ext>
          </a:extLst>
        </xdr:cNvPr>
        <xdr:cNvSpPr>
          <a:spLocks noChangeAspect="1" noChangeArrowheads="1"/>
        </xdr:cNvSpPr>
      </xdr:nvSpPr>
      <xdr:spPr bwMode="auto">
        <a:xfrm>
          <a:off x="7321550" y="955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37</xdr:row>
      <xdr:rowOff>0</xdr:rowOff>
    </xdr:from>
    <xdr:to>
      <xdr:col>2</xdr:col>
      <xdr:colOff>304800</xdr:colOff>
      <xdr:row>38</xdr:row>
      <xdr:rowOff>120650</xdr:rowOff>
    </xdr:to>
    <xdr:sp macro="" textlink="">
      <xdr:nvSpPr>
        <xdr:cNvPr id="10277" name="AutoShape 37" descr="empty star icon">
          <a:extLst>
            <a:ext uri="{FF2B5EF4-FFF2-40B4-BE49-F238E27FC236}">
              <a16:creationId xmlns:a16="http://schemas.microsoft.com/office/drawing/2014/main" id="{3FD4DAE1-C6BA-37BE-5795-C9ECD468A63B}"/>
            </a:ext>
          </a:extLst>
        </xdr:cNvPr>
        <xdr:cNvSpPr>
          <a:spLocks noChangeAspect="1" noChangeArrowheads="1"/>
        </xdr:cNvSpPr>
      </xdr:nvSpPr>
      <xdr:spPr bwMode="auto">
        <a:xfrm>
          <a:off x="7321550" y="993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38</xdr:row>
      <xdr:rowOff>0</xdr:rowOff>
    </xdr:from>
    <xdr:to>
      <xdr:col>2</xdr:col>
      <xdr:colOff>304800</xdr:colOff>
      <xdr:row>39</xdr:row>
      <xdr:rowOff>120650</xdr:rowOff>
    </xdr:to>
    <xdr:sp macro="" textlink="">
      <xdr:nvSpPr>
        <xdr:cNvPr id="10278" name="AutoShape 38" descr="empty star icon">
          <a:extLst>
            <a:ext uri="{FF2B5EF4-FFF2-40B4-BE49-F238E27FC236}">
              <a16:creationId xmlns:a16="http://schemas.microsoft.com/office/drawing/2014/main" id="{5C54982D-36D5-A3D9-0760-175E5D79441D}"/>
            </a:ext>
          </a:extLst>
        </xdr:cNvPr>
        <xdr:cNvSpPr>
          <a:spLocks noChangeAspect="1" noChangeArrowheads="1"/>
        </xdr:cNvSpPr>
      </xdr:nvSpPr>
      <xdr:spPr bwMode="auto">
        <a:xfrm>
          <a:off x="7321550" y="1019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39</xdr:row>
      <xdr:rowOff>0</xdr:rowOff>
    </xdr:from>
    <xdr:to>
      <xdr:col>2</xdr:col>
      <xdr:colOff>304800</xdr:colOff>
      <xdr:row>40</xdr:row>
      <xdr:rowOff>120650</xdr:rowOff>
    </xdr:to>
    <xdr:sp macro="" textlink="">
      <xdr:nvSpPr>
        <xdr:cNvPr id="10279" name="AutoShape 39" descr="empty star icon">
          <a:extLst>
            <a:ext uri="{FF2B5EF4-FFF2-40B4-BE49-F238E27FC236}">
              <a16:creationId xmlns:a16="http://schemas.microsoft.com/office/drawing/2014/main" id="{E734A94E-0B32-C8CD-A69F-E0AF2C291BF8}"/>
            </a:ext>
          </a:extLst>
        </xdr:cNvPr>
        <xdr:cNvSpPr>
          <a:spLocks noChangeAspect="1" noChangeArrowheads="1"/>
        </xdr:cNvSpPr>
      </xdr:nvSpPr>
      <xdr:spPr bwMode="auto">
        <a:xfrm>
          <a:off x="7321550" y="1044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40</xdr:row>
      <xdr:rowOff>0</xdr:rowOff>
    </xdr:from>
    <xdr:to>
      <xdr:col>2</xdr:col>
      <xdr:colOff>304800</xdr:colOff>
      <xdr:row>41</xdr:row>
      <xdr:rowOff>120650</xdr:rowOff>
    </xdr:to>
    <xdr:sp macro="" textlink="">
      <xdr:nvSpPr>
        <xdr:cNvPr id="10280" name="AutoShape 40" descr="empty star icon">
          <a:extLst>
            <a:ext uri="{FF2B5EF4-FFF2-40B4-BE49-F238E27FC236}">
              <a16:creationId xmlns:a16="http://schemas.microsoft.com/office/drawing/2014/main" id="{195A6273-D9C6-2B81-B889-C279191A4AC1}"/>
            </a:ext>
          </a:extLst>
        </xdr:cNvPr>
        <xdr:cNvSpPr>
          <a:spLocks noChangeAspect="1" noChangeArrowheads="1"/>
        </xdr:cNvSpPr>
      </xdr:nvSpPr>
      <xdr:spPr bwMode="auto">
        <a:xfrm>
          <a:off x="7321550" y="1082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41</xdr:row>
      <xdr:rowOff>0</xdr:rowOff>
    </xdr:from>
    <xdr:to>
      <xdr:col>2</xdr:col>
      <xdr:colOff>304800</xdr:colOff>
      <xdr:row>42</xdr:row>
      <xdr:rowOff>120650</xdr:rowOff>
    </xdr:to>
    <xdr:sp macro="" textlink="">
      <xdr:nvSpPr>
        <xdr:cNvPr id="10281" name="AutoShape 41" descr="empty star icon">
          <a:extLst>
            <a:ext uri="{FF2B5EF4-FFF2-40B4-BE49-F238E27FC236}">
              <a16:creationId xmlns:a16="http://schemas.microsoft.com/office/drawing/2014/main" id="{034571D5-2ECC-0850-AF1A-C4A01C48F42C}"/>
            </a:ext>
          </a:extLst>
        </xdr:cNvPr>
        <xdr:cNvSpPr>
          <a:spLocks noChangeAspect="1" noChangeArrowheads="1"/>
        </xdr:cNvSpPr>
      </xdr:nvSpPr>
      <xdr:spPr bwMode="auto">
        <a:xfrm>
          <a:off x="7321550" y="1108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42</xdr:row>
      <xdr:rowOff>0</xdr:rowOff>
    </xdr:from>
    <xdr:to>
      <xdr:col>2</xdr:col>
      <xdr:colOff>304800</xdr:colOff>
      <xdr:row>43</xdr:row>
      <xdr:rowOff>50800</xdr:rowOff>
    </xdr:to>
    <xdr:sp macro="" textlink="">
      <xdr:nvSpPr>
        <xdr:cNvPr id="10282" name="AutoShape 42" descr="empty star icon">
          <a:extLst>
            <a:ext uri="{FF2B5EF4-FFF2-40B4-BE49-F238E27FC236}">
              <a16:creationId xmlns:a16="http://schemas.microsoft.com/office/drawing/2014/main" id="{557E37FE-C321-53E3-402C-BDF6F7D06B0F}"/>
            </a:ext>
          </a:extLst>
        </xdr:cNvPr>
        <xdr:cNvSpPr>
          <a:spLocks noChangeAspect="1" noChangeArrowheads="1"/>
        </xdr:cNvSpPr>
      </xdr:nvSpPr>
      <xdr:spPr bwMode="auto">
        <a:xfrm>
          <a:off x="7321550" y="1126490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43</xdr:row>
      <xdr:rowOff>0</xdr:rowOff>
    </xdr:from>
    <xdr:to>
      <xdr:col>2</xdr:col>
      <xdr:colOff>304800</xdr:colOff>
      <xdr:row>44</xdr:row>
      <xdr:rowOff>50800</xdr:rowOff>
    </xdr:to>
    <xdr:sp macro="" textlink="">
      <xdr:nvSpPr>
        <xdr:cNvPr id="10283" name="AutoShape 43" descr="empty star icon">
          <a:extLst>
            <a:ext uri="{FF2B5EF4-FFF2-40B4-BE49-F238E27FC236}">
              <a16:creationId xmlns:a16="http://schemas.microsoft.com/office/drawing/2014/main" id="{CE38C2CD-71D8-E6B8-CF8E-E0AC1E440FBF}"/>
            </a:ext>
          </a:extLst>
        </xdr:cNvPr>
        <xdr:cNvSpPr>
          <a:spLocks noChangeAspect="1" noChangeArrowheads="1"/>
        </xdr:cNvSpPr>
      </xdr:nvSpPr>
      <xdr:spPr bwMode="auto">
        <a:xfrm>
          <a:off x="7321550" y="1144905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44</xdr:row>
      <xdr:rowOff>0</xdr:rowOff>
    </xdr:from>
    <xdr:to>
      <xdr:col>2</xdr:col>
      <xdr:colOff>304800</xdr:colOff>
      <xdr:row>45</xdr:row>
      <xdr:rowOff>120650</xdr:rowOff>
    </xdr:to>
    <xdr:sp macro="" textlink="">
      <xdr:nvSpPr>
        <xdr:cNvPr id="10284" name="AutoShape 44" descr="empty star icon">
          <a:extLst>
            <a:ext uri="{FF2B5EF4-FFF2-40B4-BE49-F238E27FC236}">
              <a16:creationId xmlns:a16="http://schemas.microsoft.com/office/drawing/2014/main" id="{F3385FC6-8344-021A-FDDF-AFE0BCD04751}"/>
            </a:ext>
          </a:extLst>
        </xdr:cNvPr>
        <xdr:cNvSpPr>
          <a:spLocks noChangeAspect="1" noChangeArrowheads="1"/>
        </xdr:cNvSpPr>
      </xdr:nvSpPr>
      <xdr:spPr bwMode="auto">
        <a:xfrm>
          <a:off x="7321550" y="1163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45</xdr:row>
      <xdr:rowOff>0</xdr:rowOff>
    </xdr:from>
    <xdr:to>
      <xdr:col>2</xdr:col>
      <xdr:colOff>304800</xdr:colOff>
      <xdr:row>46</xdr:row>
      <xdr:rowOff>120650</xdr:rowOff>
    </xdr:to>
    <xdr:sp macro="" textlink="">
      <xdr:nvSpPr>
        <xdr:cNvPr id="10285" name="AutoShape 45" descr="empty star icon">
          <a:extLst>
            <a:ext uri="{FF2B5EF4-FFF2-40B4-BE49-F238E27FC236}">
              <a16:creationId xmlns:a16="http://schemas.microsoft.com/office/drawing/2014/main" id="{0A5A21AB-D43A-4CB9-4548-096184F69067}"/>
            </a:ext>
          </a:extLst>
        </xdr:cNvPr>
        <xdr:cNvSpPr>
          <a:spLocks noChangeAspect="1" noChangeArrowheads="1"/>
        </xdr:cNvSpPr>
      </xdr:nvSpPr>
      <xdr:spPr bwMode="auto">
        <a:xfrm>
          <a:off x="7321550" y="1181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46</xdr:row>
      <xdr:rowOff>0</xdr:rowOff>
    </xdr:from>
    <xdr:to>
      <xdr:col>2</xdr:col>
      <xdr:colOff>304800</xdr:colOff>
      <xdr:row>47</xdr:row>
      <xdr:rowOff>50800</xdr:rowOff>
    </xdr:to>
    <xdr:sp macro="" textlink="">
      <xdr:nvSpPr>
        <xdr:cNvPr id="10286" name="AutoShape 46" descr="empty star icon">
          <a:extLst>
            <a:ext uri="{FF2B5EF4-FFF2-40B4-BE49-F238E27FC236}">
              <a16:creationId xmlns:a16="http://schemas.microsoft.com/office/drawing/2014/main" id="{F03B58E6-D897-F9AC-725A-87DE14A95758}"/>
            </a:ext>
          </a:extLst>
        </xdr:cNvPr>
        <xdr:cNvSpPr>
          <a:spLocks noChangeAspect="1" noChangeArrowheads="1"/>
        </xdr:cNvSpPr>
      </xdr:nvSpPr>
      <xdr:spPr bwMode="auto">
        <a:xfrm>
          <a:off x="7321550" y="1200150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47</xdr:row>
      <xdr:rowOff>0</xdr:rowOff>
    </xdr:from>
    <xdr:to>
      <xdr:col>2</xdr:col>
      <xdr:colOff>304800</xdr:colOff>
      <xdr:row>48</xdr:row>
      <xdr:rowOff>50800</xdr:rowOff>
    </xdr:to>
    <xdr:sp macro="" textlink="">
      <xdr:nvSpPr>
        <xdr:cNvPr id="10287" name="AutoShape 47" descr="empty star icon">
          <a:extLst>
            <a:ext uri="{FF2B5EF4-FFF2-40B4-BE49-F238E27FC236}">
              <a16:creationId xmlns:a16="http://schemas.microsoft.com/office/drawing/2014/main" id="{875EB481-4737-50A5-6D9D-357AA899ABB8}"/>
            </a:ext>
          </a:extLst>
        </xdr:cNvPr>
        <xdr:cNvSpPr>
          <a:spLocks noChangeAspect="1" noChangeArrowheads="1"/>
        </xdr:cNvSpPr>
      </xdr:nvSpPr>
      <xdr:spPr bwMode="auto">
        <a:xfrm>
          <a:off x="7321550" y="1218565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48</xdr:row>
      <xdr:rowOff>0</xdr:rowOff>
    </xdr:from>
    <xdr:to>
      <xdr:col>2</xdr:col>
      <xdr:colOff>304800</xdr:colOff>
      <xdr:row>49</xdr:row>
      <xdr:rowOff>120650</xdr:rowOff>
    </xdr:to>
    <xdr:sp macro="" textlink="">
      <xdr:nvSpPr>
        <xdr:cNvPr id="10288" name="AutoShape 48" descr="empty star icon">
          <a:extLst>
            <a:ext uri="{FF2B5EF4-FFF2-40B4-BE49-F238E27FC236}">
              <a16:creationId xmlns:a16="http://schemas.microsoft.com/office/drawing/2014/main" id="{01F89220-D5E2-337E-7C06-9E625ACAE7B4}"/>
            </a:ext>
          </a:extLst>
        </xdr:cNvPr>
        <xdr:cNvSpPr>
          <a:spLocks noChangeAspect="1" noChangeArrowheads="1"/>
        </xdr:cNvSpPr>
      </xdr:nvSpPr>
      <xdr:spPr bwMode="auto">
        <a:xfrm>
          <a:off x="7321550" y="1236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49</xdr:row>
      <xdr:rowOff>0</xdr:rowOff>
    </xdr:from>
    <xdr:to>
      <xdr:col>2</xdr:col>
      <xdr:colOff>304800</xdr:colOff>
      <xdr:row>50</xdr:row>
      <xdr:rowOff>50800</xdr:rowOff>
    </xdr:to>
    <xdr:sp macro="" textlink="">
      <xdr:nvSpPr>
        <xdr:cNvPr id="10289" name="AutoShape 49" descr="empty star icon">
          <a:extLst>
            <a:ext uri="{FF2B5EF4-FFF2-40B4-BE49-F238E27FC236}">
              <a16:creationId xmlns:a16="http://schemas.microsoft.com/office/drawing/2014/main" id="{3BEC7494-F6EE-00F3-CBFE-B33C46395177}"/>
            </a:ext>
          </a:extLst>
        </xdr:cNvPr>
        <xdr:cNvSpPr>
          <a:spLocks noChangeAspect="1" noChangeArrowheads="1"/>
        </xdr:cNvSpPr>
      </xdr:nvSpPr>
      <xdr:spPr bwMode="auto">
        <a:xfrm>
          <a:off x="7321550" y="1262380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50</xdr:row>
      <xdr:rowOff>0</xdr:rowOff>
    </xdr:from>
    <xdr:to>
      <xdr:col>2</xdr:col>
      <xdr:colOff>304800</xdr:colOff>
      <xdr:row>51</xdr:row>
      <xdr:rowOff>120650</xdr:rowOff>
    </xdr:to>
    <xdr:sp macro="" textlink="">
      <xdr:nvSpPr>
        <xdr:cNvPr id="10290" name="AutoShape 50" descr="empty star icon">
          <a:extLst>
            <a:ext uri="{FF2B5EF4-FFF2-40B4-BE49-F238E27FC236}">
              <a16:creationId xmlns:a16="http://schemas.microsoft.com/office/drawing/2014/main" id="{64EDB4EE-3829-091E-2AA7-7A3DBE3EB60D}"/>
            </a:ext>
          </a:extLst>
        </xdr:cNvPr>
        <xdr:cNvSpPr>
          <a:spLocks noChangeAspect="1" noChangeArrowheads="1"/>
        </xdr:cNvSpPr>
      </xdr:nvSpPr>
      <xdr:spPr bwMode="auto">
        <a:xfrm>
          <a:off x="7321550" y="1280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51</xdr:row>
      <xdr:rowOff>0</xdr:rowOff>
    </xdr:from>
    <xdr:to>
      <xdr:col>2</xdr:col>
      <xdr:colOff>304800</xdr:colOff>
      <xdr:row>52</xdr:row>
      <xdr:rowOff>50800</xdr:rowOff>
    </xdr:to>
    <xdr:sp macro="" textlink="">
      <xdr:nvSpPr>
        <xdr:cNvPr id="10291" name="AutoShape 51" descr="empty star icon">
          <a:extLst>
            <a:ext uri="{FF2B5EF4-FFF2-40B4-BE49-F238E27FC236}">
              <a16:creationId xmlns:a16="http://schemas.microsoft.com/office/drawing/2014/main" id="{352E2F39-3667-414C-B192-B59AC381B81A}"/>
            </a:ext>
          </a:extLst>
        </xdr:cNvPr>
        <xdr:cNvSpPr>
          <a:spLocks noChangeAspect="1" noChangeArrowheads="1"/>
        </xdr:cNvSpPr>
      </xdr:nvSpPr>
      <xdr:spPr bwMode="auto">
        <a:xfrm>
          <a:off x="7321550" y="1318895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xdr:row>
      <xdr:rowOff>0</xdr:rowOff>
    </xdr:from>
    <xdr:to>
      <xdr:col>2</xdr:col>
      <xdr:colOff>304800</xdr:colOff>
      <xdr:row>53</xdr:row>
      <xdr:rowOff>50800</xdr:rowOff>
    </xdr:to>
    <xdr:sp macro="" textlink="">
      <xdr:nvSpPr>
        <xdr:cNvPr id="10292" name="AutoShape 52" descr="empty star icon">
          <a:extLst>
            <a:ext uri="{FF2B5EF4-FFF2-40B4-BE49-F238E27FC236}">
              <a16:creationId xmlns:a16="http://schemas.microsoft.com/office/drawing/2014/main" id="{31441189-46E6-FEB4-8449-CB63B1C23917}"/>
            </a:ext>
          </a:extLst>
        </xdr:cNvPr>
        <xdr:cNvSpPr>
          <a:spLocks noChangeAspect="1" noChangeArrowheads="1"/>
        </xdr:cNvSpPr>
      </xdr:nvSpPr>
      <xdr:spPr bwMode="auto">
        <a:xfrm>
          <a:off x="7321550" y="1337310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53</xdr:row>
      <xdr:rowOff>0</xdr:rowOff>
    </xdr:from>
    <xdr:to>
      <xdr:col>2</xdr:col>
      <xdr:colOff>304800</xdr:colOff>
      <xdr:row>54</xdr:row>
      <xdr:rowOff>50800</xdr:rowOff>
    </xdr:to>
    <xdr:sp macro="" textlink="">
      <xdr:nvSpPr>
        <xdr:cNvPr id="10293" name="AutoShape 53" descr="empty star icon">
          <a:extLst>
            <a:ext uri="{FF2B5EF4-FFF2-40B4-BE49-F238E27FC236}">
              <a16:creationId xmlns:a16="http://schemas.microsoft.com/office/drawing/2014/main" id="{4346FC31-6D1E-E775-68BF-632DE9282147}"/>
            </a:ext>
          </a:extLst>
        </xdr:cNvPr>
        <xdr:cNvSpPr>
          <a:spLocks noChangeAspect="1" noChangeArrowheads="1"/>
        </xdr:cNvSpPr>
      </xdr:nvSpPr>
      <xdr:spPr bwMode="auto">
        <a:xfrm>
          <a:off x="7321550" y="1355725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54</xdr:row>
      <xdr:rowOff>0</xdr:rowOff>
    </xdr:from>
    <xdr:to>
      <xdr:col>2</xdr:col>
      <xdr:colOff>304800</xdr:colOff>
      <xdr:row>55</xdr:row>
      <xdr:rowOff>50800</xdr:rowOff>
    </xdr:to>
    <xdr:sp macro="" textlink="">
      <xdr:nvSpPr>
        <xdr:cNvPr id="10294" name="AutoShape 54" descr="empty star icon">
          <a:extLst>
            <a:ext uri="{FF2B5EF4-FFF2-40B4-BE49-F238E27FC236}">
              <a16:creationId xmlns:a16="http://schemas.microsoft.com/office/drawing/2014/main" id="{9A830409-7A16-01A6-CB09-4A9D69CEE4E1}"/>
            </a:ext>
          </a:extLst>
        </xdr:cNvPr>
        <xdr:cNvSpPr>
          <a:spLocks noChangeAspect="1" noChangeArrowheads="1"/>
        </xdr:cNvSpPr>
      </xdr:nvSpPr>
      <xdr:spPr bwMode="auto">
        <a:xfrm>
          <a:off x="7321550" y="1374140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55</xdr:row>
      <xdr:rowOff>0</xdr:rowOff>
    </xdr:from>
    <xdr:to>
      <xdr:col>2</xdr:col>
      <xdr:colOff>304800</xdr:colOff>
      <xdr:row>56</xdr:row>
      <xdr:rowOff>50800</xdr:rowOff>
    </xdr:to>
    <xdr:sp macro="" textlink="">
      <xdr:nvSpPr>
        <xdr:cNvPr id="10295" name="AutoShape 55" descr="empty star icon">
          <a:extLst>
            <a:ext uri="{FF2B5EF4-FFF2-40B4-BE49-F238E27FC236}">
              <a16:creationId xmlns:a16="http://schemas.microsoft.com/office/drawing/2014/main" id="{40C88FB5-E418-B5EB-C713-6B2E2FDDF11E}"/>
            </a:ext>
          </a:extLst>
        </xdr:cNvPr>
        <xdr:cNvSpPr>
          <a:spLocks noChangeAspect="1" noChangeArrowheads="1"/>
        </xdr:cNvSpPr>
      </xdr:nvSpPr>
      <xdr:spPr bwMode="auto">
        <a:xfrm>
          <a:off x="7321550" y="1392555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56</xdr:row>
      <xdr:rowOff>0</xdr:rowOff>
    </xdr:from>
    <xdr:to>
      <xdr:col>2</xdr:col>
      <xdr:colOff>304800</xdr:colOff>
      <xdr:row>57</xdr:row>
      <xdr:rowOff>50800</xdr:rowOff>
    </xdr:to>
    <xdr:sp macro="" textlink="">
      <xdr:nvSpPr>
        <xdr:cNvPr id="10296" name="AutoShape 56" descr="empty star icon">
          <a:extLst>
            <a:ext uri="{FF2B5EF4-FFF2-40B4-BE49-F238E27FC236}">
              <a16:creationId xmlns:a16="http://schemas.microsoft.com/office/drawing/2014/main" id="{41989EF6-7EE0-8A3C-EBC3-9E38DB08C935}"/>
            </a:ext>
          </a:extLst>
        </xdr:cNvPr>
        <xdr:cNvSpPr>
          <a:spLocks noChangeAspect="1" noChangeArrowheads="1"/>
        </xdr:cNvSpPr>
      </xdr:nvSpPr>
      <xdr:spPr bwMode="auto">
        <a:xfrm>
          <a:off x="7321550" y="1410970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57</xdr:row>
      <xdr:rowOff>0</xdr:rowOff>
    </xdr:from>
    <xdr:to>
      <xdr:col>2</xdr:col>
      <xdr:colOff>304800</xdr:colOff>
      <xdr:row>58</xdr:row>
      <xdr:rowOff>50800</xdr:rowOff>
    </xdr:to>
    <xdr:sp macro="" textlink="">
      <xdr:nvSpPr>
        <xdr:cNvPr id="10297" name="AutoShape 57" descr="empty star icon">
          <a:extLst>
            <a:ext uri="{FF2B5EF4-FFF2-40B4-BE49-F238E27FC236}">
              <a16:creationId xmlns:a16="http://schemas.microsoft.com/office/drawing/2014/main" id="{01683D1C-FBE2-E9E7-E296-FE524E8E9663}"/>
            </a:ext>
          </a:extLst>
        </xdr:cNvPr>
        <xdr:cNvSpPr>
          <a:spLocks noChangeAspect="1" noChangeArrowheads="1"/>
        </xdr:cNvSpPr>
      </xdr:nvSpPr>
      <xdr:spPr bwMode="auto">
        <a:xfrm>
          <a:off x="7321550" y="1429385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58</xdr:row>
      <xdr:rowOff>0</xdr:rowOff>
    </xdr:from>
    <xdr:to>
      <xdr:col>2</xdr:col>
      <xdr:colOff>304800</xdr:colOff>
      <xdr:row>59</xdr:row>
      <xdr:rowOff>50800</xdr:rowOff>
    </xdr:to>
    <xdr:sp macro="" textlink="">
      <xdr:nvSpPr>
        <xdr:cNvPr id="10298" name="AutoShape 58" descr="empty star icon">
          <a:extLst>
            <a:ext uri="{FF2B5EF4-FFF2-40B4-BE49-F238E27FC236}">
              <a16:creationId xmlns:a16="http://schemas.microsoft.com/office/drawing/2014/main" id="{5959B9EC-0F81-9B78-7EDF-DE68DC66FEB1}"/>
            </a:ext>
          </a:extLst>
        </xdr:cNvPr>
        <xdr:cNvSpPr>
          <a:spLocks noChangeAspect="1" noChangeArrowheads="1"/>
        </xdr:cNvSpPr>
      </xdr:nvSpPr>
      <xdr:spPr bwMode="auto">
        <a:xfrm>
          <a:off x="7321550" y="14478000"/>
          <a:ext cx="304800" cy="234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59</xdr:row>
      <xdr:rowOff>0</xdr:rowOff>
    </xdr:from>
    <xdr:to>
      <xdr:col>2</xdr:col>
      <xdr:colOff>304800</xdr:colOff>
      <xdr:row>60</xdr:row>
      <xdr:rowOff>0</xdr:rowOff>
    </xdr:to>
    <xdr:sp macro="" textlink="">
      <xdr:nvSpPr>
        <xdr:cNvPr id="10299" name="AutoShape 59" descr="empty star icon">
          <a:extLst>
            <a:ext uri="{FF2B5EF4-FFF2-40B4-BE49-F238E27FC236}">
              <a16:creationId xmlns:a16="http://schemas.microsoft.com/office/drawing/2014/main" id="{6A042AF1-4F22-3A22-2DC6-F699F029D33F}"/>
            </a:ext>
          </a:extLst>
        </xdr:cNvPr>
        <xdr:cNvSpPr>
          <a:spLocks noChangeAspect="1" noChangeArrowheads="1"/>
        </xdr:cNvSpPr>
      </xdr:nvSpPr>
      <xdr:spPr bwMode="auto">
        <a:xfrm>
          <a:off x="7321550" y="146621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8" Type="http://schemas.openxmlformats.org/officeDocument/2006/relationships/hyperlink" Target="https://daggerheartsrd.com/primary-weapons/" TargetMode="External"/><Relationship Id="rId13" Type="http://schemas.openxmlformats.org/officeDocument/2006/relationships/hyperlink" Target="https://daggerheartsrd.com/primary-weapons/" TargetMode="External"/><Relationship Id="rId18" Type="http://schemas.openxmlformats.org/officeDocument/2006/relationships/hyperlink" Target="https://daggerheart.org/reference/weapons" TargetMode="External"/><Relationship Id="rId26" Type="http://schemas.openxmlformats.org/officeDocument/2006/relationships/hyperlink" Target="https://daggerheart.org/reference/weapons" TargetMode="External"/><Relationship Id="rId3" Type="http://schemas.openxmlformats.org/officeDocument/2006/relationships/hyperlink" Target="https://daggerheart.org/reference/weapons" TargetMode="External"/><Relationship Id="rId21" Type="http://schemas.openxmlformats.org/officeDocument/2006/relationships/hyperlink" Target="https://daggerheart.org/reference/weapons" TargetMode="External"/><Relationship Id="rId7" Type="http://schemas.openxmlformats.org/officeDocument/2006/relationships/hyperlink" Target="https://daggerheart.org/reference/weapons" TargetMode="External"/><Relationship Id="rId12" Type="http://schemas.openxmlformats.org/officeDocument/2006/relationships/hyperlink" Target="https://daggerheartsrd.com/primary-weapons/" TargetMode="External"/><Relationship Id="rId17" Type="http://schemas.openxmlformats.org/officeDocument/2006/relationships/hyperlink" Target="https://daggerheart.org/reference/weapons" TargetMode="External"/><Relationship Id="rId25" Type="http://schemas.openxmlformats.org/officeDocument/2006/relationships/hyperlink" Target="https://daggerheart.org/reference/weapons" TargetMode="External"/><Relationship Id="rId2" Type="http://schemas.openxmlformats.org/officeDocument/2006/relationships/hyperlink" Target="https://daggerheartsrd.com/primary-weapons/" TargetMode="External"/><Relationship Id="rId16" Type="http://schemas.openxmlformats.org/officeDocument/2006/relationships/hyperlink" Target="https://daggerheart.org/reference/weapons" TargetMode="External"/><Relationship Id="rId20" Type="http://schemas.openxmlformats.org/officeDocument/2006/relationships/hyperlink" Target="https://daggerheart.org/reference/weapons" TargetMode="External"/><Relationship Id="rId1" Type="http://schemas.openxmlformats.org/officeDocument/2006/relationships/hyperlink" Target="https://daggerheartsrd.com/primary-weapons/" TargetMode="External"/><Relationship Id="rId6" Type="http://schemas.openxmlformats.org/officeDocument/2006/relationships/hyperlink" Target="https://daggerheartsrd.com/primary-weapons/" TargetMode="External"/><Relationship Id="rId11" Type="http://schemas.openxmlformats.org/officeDocument/2006/relationships/hyperlink" Target="https://daggerheartsrd.com/primary-weapons/" TargetMode="External"/><Relationship Id="rId24" Type="http://schemas.openxmlformats.org/officeDocument/2006/relationships/hyperlink" Target="https://daggerheart.org/reference/weapons" TargetMode="External"/><Relationship Id="rId5" Type="http://schemas.openxmlformats.org/officeDocument/2006/relationships/hyperlink" Target="https://daggerheartsrd.com/primary-weapons/" TargetMode="External"/><Relationship Id="rId15" Type="http://schemas.openxmlformats.org/officeDocument/2006/relationships/hyperlink" Target="https://daggerheartsrd.com/primary-weapons/" TargetMode="External"/><Relationship Id="rId23" Type="http://schemas.openxmlformats.org/officeDocument/2006/relationships/hyperlink" Target="https://daggerheart.org/reference/weapons" TargetMode="External"/><Relationship Id="rId10" Type="http://schemas.openxmlformats.org/officeDocument/2006/relationships/hyperlink" Target="https://daggerheartsrd.com/primary-weapons/" TargetMode="External"/><Relationship Id="rId19" Type="http://schemas.openxmlformats.org/officeDocument/2006/relationships/hyperlink" Target="https://daggerheart.org/reference/weapons" TargetMode="External"/><Relationship Id="rId4" Type="http://schemas.openxmlformats.org/officeDocument/2006/relationships/hyperlink" Target="https://daggerheart.org/reference/weapons" TargetMode="External"/><Relationship Id="rId9" Type="http://schemas.openxmlformats.org/officeDocument/2006/relationships/hyperlink" Target="https://daggerheartsrd.com/primary-weapons/" TargetMode="External"/><Relationship Id="rId14" Type="http://schemas.openxmlformats.org/officeDocument/2006/relationships/hyperlink" Target="https://daggerheartsrd.com/primary-weapons/" TargetMode="External"/><Relationship Id="rId22" Type="http://schemas.openxmlformats.org/officeDocument/2006/relationships/hyperlink" Target="https://daggerheart.org/reference/weapons"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daggerheart.org/reference/armor" TargetMode="External"/><Relationship Id="rId13" Type="http://schemas.openxmlformats.org/officeDocument/2006/relationships/hyperlink" Target="https://daggerheart.org/reference/armor" TargetMode="External"/><Relationship Id="rId18" Type="http://schemas.openxmlformats.org/officeDocument/2006/relationships/hyperlink" Target="https://daggerheart.org/reference/armor" TargetMode="External"/><Relationship Id="rId3" Type="http://schemas.openxmlformats.org/officeDocument/2006/relationships/hyperlink" Target="https://daggerheart.org/reference/armor" TargetMode="External"/><Relationship Id="rId21" Type="http://schemas.openxmlformats.org/officeDocument/2006/relationships/hyperlink" Target="https://daggerheart.org/reference/armor" TargetMode="External"/><Relationship Id="rId7" Type="http://schemas.openxmlformats.org/officeDocument/2006/relationships/hyperlink" Target="https://daggerheart.org/reference/armor" TargetMode="External"/><Relationship Id="rId12" Type="http://schemas.openxmlformats.org/officeDocument/2006/relationships/hyperlink" Target="https://daggerheart.org/reference/armor" TargetMode="External"/><Relationship Id="rId17" Type="http://schemas.openxmlformats.org/officeDocument/2006/relationships/hyperlink" Target="https://daggerheart.org/reference/armor" TargetMode="External"/><Relationship Id="rId2" Type="http://schemas.openxmlformats.org/officeDocument/2006/relationships/hyperlink" Target="https://daggerheart.org/reference/armor" TargetMode="External"/><Relationship Id="rId16" Type="http://schemas.openxmlformats.org/officeDocument/2006/relationships/hyperlink" Target="https://daggerheart.org/reference/armor" TargetMode="External"/><Relationship Id="rId20" Type="http://schemas.openxmlformats.org/officeDocument/2006/relationships/hyperlink" Target="https://daggerheart.org/reference/armor" TargetMode="External"/><Relationship Id="rId1" Type="http://schemas.openxmlformats.org/officeDocument/2006/relationships/hyperlink" Target="https://daggerheart.org/reference/armor" TargetMode="External"/><Relationship Id="rId6" Type="http://schemas.openxmlformats.org/officeDocument/2006/relationships/hyperlink" Target="https://daggerheart.org/reference/armor" TargetMode="External"/><Relationship Id="rId11" Type="http://schemas.openxmlformats.org/officeDocument/2006/relationships/hyperlink" Target="https://daggerheart.org/reference/armor" TargetMode="External"/><Relationship Id="rId5" Type="http://schemas.openxmlformats.org/officeDocument/2006/relationships/hyperlink" Target="https://daggerheart.org/reference/armor" TargetMode="External"/><Relationship Id="rId15" Type="http://schemas.openxmlformats.org/officeDocument/2006/relationships/hyperlink" Target="https://daggerheart.org/reference/armor" TargetMode="External"/><Relationship Id="rId10" Type="http://schemas.openxmlformats.org/officeDocument/2006/relationships/hyperlink" Target="https://daggerheart.org/reference/armor" TargetMode="External"/><Relationship Id="rId19" Type="http://schemas.openxmlformats.org/officeDocument/2006/relationships/hyperlink" Target="https://daggerheart.org/reference/armor" TargetMode="External"/><Relationship Id="rId4" Type="http://schemas.openxmlformats.org/officeDocument/2006/relationships/hyperlink" Target="https://daggerheart.org/reference/armor" TargetMode="External"/><Relationship Id="rId9" Type="http://schemas.openxmlformats.org/officeDocument/2006/relationships/hyperlink" Target="https://daggerheart.org/reference/armor" TargetMode="External"/><Relationship Id="rId14" Type="http://schemas.openxmlformats.org/officeDocument/2006/relationships/hyperlink" Target="https://daggerheart.org/reference/arm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52D74-2A44-49A3-AA77-657858ABC6FB}">
  <dimension ref="A1:Z47"/>
  <sheetViews>
    <sheetView zoomScale="85" zoomScaleNormal="85" workbookViewId="0">
      <selection activeCell="A16" sqref="A16"/>
    </sheetView>
  </sheetViews>
  <sheetFormatPr defaultRowHeight="14.5" x14ac:dyDescent="0.35"/>
  <cols>
    <col min="1" max="1" width="26.6328125" bestFit="1" customWidth="1"/>
    <col min="2" max="2" width="25.36328125" bestFit="1" customWidth="1"/>
    <col min="3" max="4" width="47.26953125" customWidth="1"/>
    <col min="5" max="5" width="60.81640625" style="4" customWidth="1"/>
    <col min="6" max="6" width="16.26953125" customWidth="1"/>
    <col min="7" max="7" width="9.1796875" bestFit="1" customWidth="1"/>
    <col min="8" max="8" width="10" bestFit="1" customWidth="1"/>
    <col min="9" max="9" width="12.08984375" bestFit="1" customWidth="1"/>
    <col min="10" max="10" width="15" bestFit="1" customWidth="1"/>
    <col min="11" max="11" width="13.08984375" bestFit="1" customWidth="1"/>
    <col min="12" max="12" width="13.08984375" customWidth="1"/>
    <col min="13" max="13" width="8.7265625" bestFit="1" customWidth="1"/>
    <col min="14" max="14" width="10.08984375" bestFit="1" customWidth="1"/>
    <col min="15" max="15" width="9.36328125" bestFit="1" customWidth="1"/>
    <col min="16" max="16" width="7.26953125" bestFit="1" customWidth="1"/>
    <col min="17" max="17" width="11" bestFit="1" customWidth="1"/>
    <col min="18" max="18" width="9.1796875" bestFit="1" customWidth="1"/>
    <col min="19" max="19" width="19.08984375" customWidth="1"/>
    <col min="20" max="20" width="58.54296875" bestFit="1" customWidth="1"/>
    <col min="21" max="21" width="58.54296875" customWidth="1"/>
    <col min="22" max="22" width="30.90625" style="4" customWidth="1"/>
    <col min="23" max="23" width="18.54296875" customWidth="1"/>
    <col min="24" max="24" width="57.36328125" bestFit="1" customWidth="1"/>
    <col min="25" max="25" width="57.36328125" customWidth="1"/>
    <col min="26" max="26" width="20.90625" style="4" customWidth="1"/>
  </cols>
  <sheetData>
    <row r="1" spans="1:26" s="3" customFormat="1" ht="29" x14ac:dyDescent="0.35">
      <c r="A1" s="3" t="s">
        <v>0</v>
      </c>
      <c r="B1" s="3" t="s">
        <v>1</v>
      </c>
      <c r="C1" s="3" t="s">
        <v>2</v>
      </c>
      <c r="D1" s="3" t="s">
        <v>1786</v>
      </c>
      <c r="E1" s="3" t="s">
        <v>3</v>
      </c>
      <c r="F1" s="3" t="s">
        <v>4</v>
      </c>
      <c r="G1" s="3" t="s">
        <v>5</v>
      </c>
      <c r="H1" s="3" t="s">
        <v>6</v>
      </c>
      <c r="I1" s="3" t="s">
        <v>8</v>
      </c>
      <c r="J1" s="3" t="s">
        <v>7</v>
      </c>
      <c r="K1" s="3" t="s">
        <v>15</v>
      </c>
      <c r="L1" s="3" t="s">
        <v>28</v>
      </c>
      <c r="M1" s="3" t="s">
        <v>9</v>
      </c>
      <c r="N1" s="3" t="s">
        <v>10</v>
      </c>
      <c r="O1" s="3" t="s">
        <v>11</v>
      </c>
      <c r="P1" s="3" t="s">
        <v>12</v>
      </c>
      <c r="Q1" s="3" t="s">
        <v>13</v>
      </c>
      <c r="R1" s="3" t="s">
        <v>14</v>
      </c>
      <c r="S1" s="3" t="s">
        <v>1611</v>
      </c>
      <c r="T1" s="3" t="s">
        <v>1613</v>
      </c>
      <c r="V1" s="3" t="s">
        <v>1612</v>
      </c>
      <c r="W1" s="3" t="s">
        <v>1395</v>
      </c>
      <c r="X1" s="3" t="s">
        <v>1614</v>
      </c>
      <c r="Y1" s="3" t="s">
        <v>1786</v>
      </c>
      <c r="Z1" s="3" t="s">
        <v>1396</v>
      </c>
    </row>
    <row r="2" spans="1:26" x14ac:dyDescent="0.35">
      <c r="A2" t="s">
        <v>26</v>
      </c>
      <c r="B2" t="s">
        <v>16</v>
      </c>
      <c r="C2" t="s">
        <v>1615</v>
      </c>
      <c r="D2" t="str">
        <f>CONCATENATE("Cybermancy image generator thread: generate an image for " &amp; A2 &amp;  ".png in the size recommended by Foundry VTT for icons.  Focus on the descriptive aspects implied by " &amp; C2 &amp; " in the image generation. " &amp; A2 &amp; " in Cybermancy has the description of: " &amp; E2)</f>
        <v>Cybermancy image generator thread: generate an image for Loaded Battleaxe.png in the size recommended by Foundry VTT for icons.  Focus on the descriptive aspects implied by modules/cybermancy/assets/icons/weapons/axes/axe-double-jagged-black.webp in the image generation. Loaded Battleaxe in Cybermancy has the description of: It's an axe</v>
      </c>
      <c r="E2" s="4" t="s">
        <v>17</v>
      </c>
      <c r="F2">
        <v>1</v>
      </c>
      <c r="G2" t="b">
        <v>0</v>
      </c>
      <c r="H2" t="s">
        <v>18</v>
      </c>
      <c r="I2" t="s">
        <v>20</v>
      </c>
      <c r="J2" t="s">
        <v>19</v>
      </c>
      <c r="M2" t="s">
        <v>21</v>
      </c>
      <c r="N2">
        <v>1</v>
      </c>
      <c r="O2" t="s">
        <v>22</v>
      </c>
      <c r="P2" t="s">
        <v>23</v>
      </c>
      <c r="Q2" t="s">
        <v>24</v>
      </c>
      <c r="R2" t="s">
        <v>25</v>
      </c>
      <c r="U2" t="str">
        <f>CONCATENATE("Cybermancy image generator thread: generate an image for " &amp; R2 &amp;  ".png in the size recommended by Foundry VTT for icons.  Focus on the descriptive aspects implied by " &amp; T2 &amp; " in the image generation. " &amp; R2 &amp; " in Cybermancy has the description of: " &amp; V2)</f>
        <v xml:space="preserve">Cybermancy image generator thread: generate an image for hitPoints.png in the size recommended by Foundry VTT for icons.  Focus on the descriptive aspects implied by  in the image generation. hitPoints in Cybermancy has the description of: </v>
      </c>
      <c r="Y2" t="str">
        <f>CONCATENATE("Cybermancy image generator thread: generate an image for " &amp; V2 &amp;  ".png in the size recommended by Foundry VTT for icons.  Focus on the descriptive aspects implied by " &amp; X2 &amp; " in the image generation. " &amp; V2 &amp; " in Cybermancy has the description of: " &amp; Z2)</f>
        <v xml:space="preserve">Cybermancy image generator thread: generate an image for .png in the size recommended by Foundry VTT for icons.  Focus on the descriptive aspects implied by  in the image generation.  in Cybermancy has the description of: </v>
      </c>
    </row>
    <row r="3" spans="1:26" ht="29" x14ac:dyDescent="0.35">
      <c r="A3" t="s">
        <v>1276</v>
      </c>
      <c r="B3" t="s">
        <v>16</v>
      </c>
      <c r="C3" t="s">
        <v>1616</v>
      </c>
      <c r="D3" t="str">
        <f t="shared" ref="D3:D47" si="0">CONCATENATE("Cybermancy image generator thread: generate an image for " &amp; A3 &amp;  ".png in the size recommended by Foundry VTT for icons.  Focus on the descriptive aspects implied by " &amp; C3 &amp; " in the image generation. " &amp; A3 &amp; " in Cybermancy has the description of: " &amp; E3)</f>
        <v>Cybermancy image generator thread: generate an image for Monofilament Whip.png in the size recommended by Foundry VTT for icons.  Focus on the descriptive aspects implied by modules/cybermancy/assets/icons/weapons/monofilament-whip.webp in the image generation. Monofilament Whip in Cybermancy has the description of: A razor-thin filament coil capable of slicing through armor and bone. Deadly, silent, and banned in most civilized zones.</v>
      </c>
      <c r="E3" s="8" t="s">
        <v>1557</v>
      </c>
      <c r="F3">
        <v>1</v>
      </c>
      <c r="G3" t="b">
        <v>0</v>
      </c>
      <c r="H3" t="s">
        <v>27</v>
      </c>
      <c r="I3" t="s">
        <v>20</v>
      </c>
      <c r="M3" t="s">
        <v>1353</v>
      </c>
      <c r="N3">
        <v>1</v>
      </c>
      <c r="O3" t="s">
        <v>1355</v>
      </c>
      <c r="P3" t="s">
        <v>1321</v>
      </c>
      <c r="Q3" t="s">
        <v>24</v>
      </c>
      <c r="R3" t="s">
        <v>25</v>
      </c>
      <c r="S3" t="s">
        <v>1397</v>
      </c>
      <c r="T3" t="s">
        <v>1661</v>
      </c>
      <c r="U3" t="str">
        <f t="shared" ref="U3:U47" si="1">CONCATENATE("Cybermancy image generator thread: generate an image for " &amp; R3 &amp;  ".png in the size recommended by Foundry VTT for icons.  Focus on the descriptive aspects implied by " &amp; T3 &amp; " in the image generation. " &amp; R3 &amp; " in Cybermancy has the description of: " &amp; V3)</f>
        <v>Cybermancy image generator thread: generate an image for hitPoints.png in the size recommended by Foundry VTT for icons.  Focus on the descriptive aspects implied by modules/cybermancy/assets/icons/features/lethal-edge.webp in the image generation. hitPoints in Cybermancy has the description of:  On a Hope win, deal Severe damage if the Fear die shows 8-12.</v>
      </c>
      <c r="V3" s="4" t="s">
        <v>1398</v>
      </c>
      <c r="W3" t="s">
        <v>1477</v>
      </c>
      <c r="X3" t="s">
        <v>1700</v>
      </c>
      <c r="Y3" t="str">
        <f t="shared" ref="Y3:Y47" si="2">CONCATENATE("Cybermancy image generator thread: generate an image for " &amp; V3 &amp;  ".png in the size recommended by Foundry VTT for icons.  Focus on the descriptive aspects implied by " &amp; X3 &amp; " in the image generation. " &amp; V3 &amp; " in Cybermancy has the description of: " &amp; Z3)</f>
        <v>Cybermancy image generator thread: generate an image for  On a Hope win, deal Severe damage if the Fear die shows 8-12..png in the size recommended by Foundry VTT for icons.  Focus on the descriptive aspects implied by modules/cybermancy/assets/icons/features/slice-in-two.webp in the image generation.  On a Hope win, deal Severe damage if the Fear die shows 8-12. in Cybermancy has the description of:  Sever or disable a limb, item, or piece of cover.</v>
      </c>
      <c r="Z3" s="4" t="s">
        <v>1478</v>
      </c>
    </row>
    <row r="4" spans="1:26" ht="58" x14ac:dyDescent="0.35">
      <c r="A4" t="s">
        <v>1277</v>
      </c>
      <c r="B4" t="s">
        <v>16</v>
      </c>
      <c r="C4" t="s">
        <v>1617</v>
      </c>
      <c r="D4" t="str">
        <f t="shared" si="0"/>
        <v>Cybermancy image generator thread: generate an image for Cyber Spur.png in the size recommended by Foundry VTT for icons.  Focus on the descriptive aspects implied by modules/cybermancy/assets/icons/weapons/cyber-spur.webp in the image generation. Cyber Spur in Cybermancy has the description of: A retractable blade hidden in the user’s forearm, perfect for sudden, lethal strikes in close quarters.</v>
      </c>
      <c r="E4" s="8" t="s">
        <v>1558</v>
      </c>
      <c r="F4">
        <v>1</v>
      </c>
      <c r="G4" t="b">
        <v>0</v>
      </c>
      <c r="H4" t="s">
        <v>27</v>
      </c>
      <c r="I4" t="s">
        <v>20</v>
      </c>
      <c r="L4" t="s">
        <v>1267</v>
      </c>
      <c r="M4" t="s">
        <v>21</v>
      </c>
      <c r="N4">
        <v>1</v>
      </c>
      <c r="O4" t="s">
        <v>1356</v>
      </c>
      <c r="P4" t="s">
        <v>1331</v>
      </c>
      <c r="Q4" t="s">
        <v>24</v>
      </c>
      <c r="R4" t="s">
        <v>25</v>
      </c>
      <c r="S4" t="s">
        <v>1399</v>
      </c>
      <c r="T4" t="s">
        <v>1662</v>
      </c>
      <c r="U4" t="str">
        <f t="shared" si="1"/>
        <v>Cybermancy image generator thread: generate an image for hitPoints.png in the size recommended by Foundry VTT for icons.  Focus on the descriptive aspects implied by modules/cybermancy/assets/icons/features/concealed.webp in the image generation. hitPoints in Cybermancy has the description of:  Can be hidden; gain advantage on your first attack each scene.</v>
      </c>
      <c r="V4" s="4" t="s">
        <v>1400</v>
      </c>
      <c r="W4" t="s">
        <v>1479</v>
      </c>
      <c r="X4" t="s">
        <v>1701</v>
      </c>
      <c r="Y4" t="str">
        <f t="shared" si="2"/>
        <v>Cybermancy image generator thread: generate an image for  Can be hidden; gain advantage on your first attack each scene..png in the size recommended by Foundry VTT for icons.  Focus on the descriptive aspects implied by modules/cybermancy/assets/icons/features/ambush-kill.webp in the image generation.  Can be hidden; gain advantage on your first attack each scene. in Cybermancy has the description of:  If striking from surprise, escalate Fear consequences for target.</v>
      </c>
      <c r="Z4" s="4" t="s">
        <v>1480</v>
      </c>
    </row>
    <row r="5" spans="1:26" ht="43.5" x14ac:dyDescent="0.35">
      <c r="A5" t="s">
        <v>1278</v>
      </c>
      <c r="B5" t="s">
        <v>16</v>
      </c>
      <c r="C5" t="s">
        <v>1618</v>
      </c>
      <c r="D5" t="str">
        <f t="shared" si="0"/>
        <v>Cybermancy image generator thread: generate an image for Shock Baton.png in the size recommended by Foundry VTT for icons.  Focus on the descriptive aspects implied by modules/cybermancy/assets/icons/weapons/shock-baton.webp in the image generation. Shock Baton in Cybermancy has the description of: A polymer club fitted with a high-voltage capacitor, used by corp security and riot control alike.</v>
      </c>
      <c r="E5" s="8" t="s">
        <v>1559</v>
      </c>
      <c r="F5">
        <v>1</v>
      </c>
      <c r="G5" t="b">
        <v>0</v>
      </c>
      <c r="H5" t="s">
        <v>27</v>
      </c>
      <c r="I5" t="s">
        <v>20</v>
      </c>
      <c r="M5" t="s">
        <v>1351</v>
      </c>
      <c r="N5">
        <v>1</v>
      </c>
      <c r="O5" t="s">
        <v>1357</v>
      </c>
      <c r="P5" t="s">
        <v>1322</v>
      </c>
      <c r="Q5" t="s">
        <v>24</v>
      </c>
      <c r="R5" t="s">
        <v>25</v>
      </c>
      <c r="S5" t="s">
        <v>1401</v>
      </c>
      <c r="T5" t="s">
        <v>1663</v>
      </c>
      <c r="U5" t="str">
        <f t="shared" si="1"/>
        <v>Cybermancy image generator thread: generate an image for hitPoints.png in the size recommended by Foundry VTT for icons.  Focus on the descriptive aspects implied by modules/cybermancy/assets/icons/features/stunning.webp in the image generation. hitPoints in Cybermancy has the description of:  Spend a Hope on a successful hit to inflict Dazed for one round.</v>
      </c>
      <c r="V5" s="4" t="s">
        <v>1402</v>
      </c>
      <c r="W5" t="s">
        <v>1481</v>
      </c>
      <c r="X5" t="s">
        <v>1702</v>
      </c>
      <c r="Y5" t="str">
        <f t="shared" si="2"/>
        <v>Cybermancy image generator thread: generate an image for  Spend a Hope on a successful hit to inflict Dazed for one round..png in the size recommended by Foundry VTT for icons.  Focus on the descriptive aspects implied by modules/cybermancy/assets/icons/features/knockout.webp in the image generation.  Spend a Hope on a successful hit to inflict Dazed for one round. in Cybermancy has the description of:  Target is stunned or unconscious for one scene beat.</v>
      </c>
      <c r="Z5" s="4" t="s">
        <v>1482</v>
      </c>
    </row>
    <row r="6" spans="1:26" ht="43.5" x14ac:dyDescent="0.35">
      <c r="A6" t="s">
        <v>1279</v>
      </c>
      <c r="B6" t="s">
        <v>16</v>
      </c>
      <c r="C6" t="s">
        <v>1619</v>
      </c>
      <c r="D6" t="str">
        <f t="shared" si="0"/>
        <v>Cybermancy image generator thread: generate an image for Vibro-Knife.png in the size recommended by Foundry VTT for icons.  Focus on the descriptive aspects implied by modules/cybermancy/assets/icons/weapons/vibro-knife.webp in the image generation. Vibro-Knife in Cybermancy has the description of: A short combat blade that hums at ultrasonic speed, capable of piercing armor with surgical precision.</v>
      </c>
      <c r="E6" s="8" t="s">
        <v>1560</v>
      </c>
      <c r="F6">
        <v>1</v>
      </c>
      <c r="G6" t="b">
        <v>0</v>
      </c>
      <c r="H6" t="s">
        <v>27</v>
      </c>
      <c r="I6" t="s">
        <v>20</v>
      </c>
      <c r="M6" t="s">
        <v>21</v>
      </c>
      <c r="N6">
        <v>1</v>
      </c>
      <c r="O6" t="s">
        <v>1358</v>
      </c>
      <c r="P6" t="s">
        <v>1323</v>
      </c>
      <c r="Q6" t="s">
        <v>24</v>
      </c>
      <c r="R6" t="s">
        <v>25</v>
      </c>
      <c r="S6" t="s">
        <v>1403</v>
      </c>
      <c r="T6" t="s">
        <v>1664</v>
      </c>
      <c r="U6" t="str">
        <f t="shared" si="1"/>
        <v>Cybermancy image generator thread: generate an image for hitPoints.png in the size recommended by Foundry VTT for icons.  Focus on the descriptive aspects implied by modules/cybermancy/assets/icons/features/piercing.webp in the image generation. hitPoints in Cybermancy has the description of:  Ignores armor on a Hope critical.</v>
      </c>
      <c r="V6" s="4" t="s">
        <v>1404</v>
      </c>
      <c r="W6" t="s">
        <v>1483</v>
      </c>
      <c r="X6" t="s">
        <v>1703</v>
      </c>
      <c r="Y6" t="str">
        <f t="shared" si="2"/>
        <v>Cybermancy image generator thread: generate an image for  Ignores armor on a Hope critical..png in the size recommended by Foundry VTT for icons.  Focus on the descriptive aspects implied by modules/cybermancy/assets/icons/features/silent-kill.webp in the image generation.  Ignores armor on a Hope critical. in Cybermancy has the description of:  Disable one target silently with no alert escalation.</v>
      </c>
      <c r="Z6" s="4" t="s">
        <v>1484</v>
      </c>
    </row>
    <row r="7" spans="1:26" ht="29" x14ac:dyDescent="0.35">
      <c r="A7" t="s">
        <v>1280</v>
      </c>
      <c r="B7" t="s">
        <v>16</v>
      </c>
      <c r="C7" t="s">
        <v>1620</v>
      </c>
      <c r="D7" t="str">
        <f t="shared" si="0"/>
        <v>Cybermancy image generator thread: generate an image for Smartpistol.png in the size recommended by Foundry VTT for icons.  Focus on the descriptive aspects implied by modules/cybermancy/assets/icons/weapons/smartpistol.webp in the image generation. Smartpistol in Cybermancy has the description of: Compact sidearm with digital targeting and auto-adjust systems, favored by professional runners.</v>
      </c>
      <c r="E7" s="8" t="s">
        <v>1561</v>
      </c>
      <c r="F7">
        <v>1</v>
      </c>
      <c r="G7" t="b">
        <v>0</v>
      </c>
      <c r="H7" t="s">
        <v>27</v>
      </c>
      <c r="I7" t="s">
        <v>20</v>
      </c>
      <c r="M7" t="s">
        <v>1352</v>
      </c>
      <c r="N7">
        <v>1</v>
      </c>
      <c r="O7" t="s">
        <v>1355</v>
      </c>
      <c r="P7" t="s">
        <v>1324</v>
      </c>
      <c r="Q7" t="s">
        <v>24</v>
      </c>
      <c r="R7" t="s">
        <v>25</v>
      </c>
      <c r="S7" t="s">
        <v>1405</v>
      </c>
      <c r="T7" t="s">
        <v>1665</v>
      </c>
      <c r="U7" t="str">
        <f t="shared" si="1"/>
        <v>Cybermancy image generator thread: generate an image for hitPoints.png in the size recommended by Foundry VTT for icons.  Focus on the descriptive aspects implied by modules/cybermancy/assets/icons/features/smartlink.webp in the image generation. hitPoints in Cybermancy has the description of:  Once per scene, reroll one attack die if linked to cyberware/gear.</v>
      </c>
      <c r="V7" s="4" t="s">
        <v>1406</v>
      </c>
      <c r="W7" t="s">
        <v>1485</v>
      </c>
      <c r="X7" t="s">
        <v>1704</v>
      </c>
      <c r="Y7" t="str">
        <f t="shared" si="2"/>
        <v>Cybermancy image generator thread: generate an image for  Once per scene, reroll one attack die if linked to cyberware/gear..png in the size recommended by Foundry VTT for icons.  Focus on the descriptive aspects implied by modules/cybermancy/assets/icons/features/pinpoint.webp in the image generation.  Once per scene, reroll one attack die if linked to cyberware/gear. in Cybermancy has the description of:  Crit ignores cover; disable weapon/armor.</v>
      </c>
      <c r="Z7" s="4" t="s">
        <v>1486</v>
      </c>
    </row>
    <row r="8" spans="1:26" ht="43.5" x14ac:dyDescent="0.35">
      <c r="A8" t="s">
        <v>1281</v>
      </c>
      <c r="B8" t="s">
        <v>16</v>
      </c>
      <c r="C8" t="s">
        <v>1621</v>
      </c>
      <c r="D8" t="str">
        <f t="shared" si="0"/>
        <v>Cybermancy image generator thread: generate an image for SMG (Machine Pistol).png in the size recommended by Foundry VTT for icons.  Focus on the descriptive aspects implied by modules/cybermancy/assets/icons/weapons/smg-machine-pistol.webp in the image generation. SMG (Machine Pistol) in Cybermancy has the description of: Lightweight submachine gun optimized for close-quarters burst fire; loud, fast, and unforgiving.</v>
      </c>
      <c r="E8" s="8" t="s">
        <v>1562</v>
      </c>
      <c r="F8">
        <v>1</v>
      </c>
      <c r="G8" t="b">
        <v>0</v>
      </c>
      <c r="H8" t="s">
        <v>18</v>
      </c>
      <c r="I8" t="s">
        <v>20</v>
      </c>
      <c r="M8" t="s">
        <v>1351</v>
      </c>
      <c r="N8">
        <v>1</v>
      </c>
      <c r="O8" t="s">
        <v>1358</v>
      </c>
      <c r="P8" t="s">
        <v>1325</v>
      </c>
      <c r="Q8" t="s">
        <v>24</v>
      </c>
      <c r="R8" t="s">
        <v>25</v>
      </c>
      <c r="S8" t="s">
        <v>1407</v>
      </c>
      <c r="T8" t="s">
        <v>1666</v>
      </c>
      <c r="U8" t="str">
        <f t="shared" si="1"/>
        <v>Cybermancy image generator thread: generate an image for hitPoints.png in the size recommended by Foundry VTT for icons.  Focus on the descriptive aspects implied by modules/cybermancy/assets/icons/weapons-feature/burst-fire.webp in the image generation. hitPoints in Cybermancy has the description of:  Mark 1 Stress to attack an additional target in Close range.</v>
      </c>
      <c r="V8" s="4" t="s">
        <v>1408</v>
      </c>
      <c r="W8" t="s">
        <v>1487</v>
      </c>
      <c r="X8" t="s">
        <v>1705</v>
      </c>
      <c r="Y8" t="str">
        <f t="shared" si="2"/>
        <v>Cybermancy image generator thread: generate an image for  Mark 1 Stress to attack an additional target in Close range..png in the size recommended by Foundry VTT for icons.  Focus on the descriptive aspects implied by modules/cybermancy/assets/icons/features/spray-down.webp in the image generation.  Mark 1 Stress to attack an additional target in Close range. in Cybermancy has the description of:  Hit all targets in Very Close range with collateral fire.</v>
      </c>
      <c r="Z8" s="4" t="s">
        <v>1488</v>
      </c>
    </row>
    <row r="9" spans="1:26" ht="43.5" x14ac:dyDescent="0.35">
      <c r="A9" t="s">
        <v>1282</v>
      </c>
      <c r="B9" t="s">
        <v>16</v>
      </c>
      <c r="C9" t="s">
        <v>1622</v>
      </c>
      <c r="D9" t="str">
        <f t="shared" si="0"/>
        <v>Cybermancy image generator thread: generate an image for Assault Rifle.png in the size recommended by Foundry VTT for icons.  Focus on the descriptive aspects implied by modules/cybermancy/assets/icons/weapons/assault-rifle.webp in the image generation. Assault Rifle in Cybermancy has the description of: The runner’s staple: reliable, lethal, and adaptable across every corporate warzone on Earth.</v>
      </c>
      <c r="E9" s="8" t="s">
        <v>1563</v>
      </c>
      <c r="F9">
        <v>1</v>
      </c>
      <c r="G9" t="b">
        <v>0</v>
      </c>
      <c r="H9" t="s">
        <v>18</v>
      </c>
      <c r="I9" t="s">
        <v>20</v>
      </c>
      <c r="M9" t="s">
        <v>1352</v>
      </c>
      <c r="N9">
        <v>1</v>
      </c>
      <c r="O9" t="s">
        <v>22</v>
      </c>
      <c r="P9" t="s">
        <v>1326</v>
      </c>
      <c r="Q9" t="s">
        <v>24</v>
      </c>
      <c r="R9" t="s">
        <v>25</v>
      </c>
      <c r="S9" t="s">
        <v>1409</v>
      </c>
      <c r="T9" t="s">
        <v>1667</v>
      </c>
      <c r="U9" t="str">
        <f t="shared" si="1"/>
        <v>Cybermancy image generator thread: generate an image for hitPoints.png in the size recommended by Foundry VTT for icons.  Focus on the descriptive aspects implied by modules/cybermancy/assets/icons/weapons-feature/suppressive-fire.webp in the image generation. hitPoints in Cybermancy has the description of:  On a Hope win, target must mark 1 Stress to act next turn.</v>
      </c>
      <c r="V9" s="4" t="s">
        <v>1410</v>
      </c>
      <c r="W9" t="s">
        <v>1489</v>
      </c>
      <c r="X9" t="s">
        <v>1706</v>
      </c>
      <c r="Y9" t="str">
        <f t="shared" si="2"/>
        <v>Cybermancy image generator thread: generate an image for  On a Hope win, target must mark 1 Stress to act next turn..png in the size recommended by Foundry VTT for icons.  Focus on the descriptive aspects implied by modules/cybermancy/assets/icons/features/shredding-burst.webp in the image generation.  On a Hope win, target must mark 1 Stress to act next turn. in Cybermancy has the description of:  Force enemy into cover, reducing their next attack roll.</v>
      </c>
      <c r="Z9" s="4" t="s">
        <v>1490</v>
      </c>
    </row>
    <row r="10" spans="1:26" ht="29" x14ac:dyDescent="0.35">
      <c r="A10" t="s">
        <v>1283</v>
      </c>
      <c r="B10" t="s">
        <v>16</v>
      </c>
      <c r="C10" t="s">
        <v>1623</v>
      </c>
      <c r="D10" t="str">
        <f t="shared" si="0"/>
        <v>Cybermancy image generator thread: generate an image for Shotgun.png in the size recommended by Foundry VTT for icons.  Focus on the descriptive aspects implied by modules/cybermancy/assets/icons/weapons/shotgun.webp in the image generation. Shotgun in Cybermancy has the description of: Brutal close-range weapon that clears hallways with concussive thunder and devastating scatter.</v>
      </c>
      <c r="E10" s="8" t="s">
        <v>1564</v>
      </c>
      <c r="F10">
        <v>1</v>
      </c>
      <c r="G10" t="b">
        <v>0</v>
      </c>
      <c r="H10" t="s">
        <v>18</v>
      </c>
      <c r="I10" t="s">
        <v>20</v>
      </c>
      <c r="M10" t="s">
        <v>1351</v>
      </c>
      <c r="N10">
        <v>1</v>
      </c>
      <c r="O10" t="s">
        <v>1356</v>
      </c>
      <c r="P10" t="s">
        <v>1327</v>
      </c>
      <c r="Q10" t="s">
        <v>24</v>
      </c>
      <c r="R10" t="s">
        <v>25</v>
      </c>
      <c r="S10" t="s">
        <v>1411</v>
      </c>
      <c r="T10" t="s">
        <v>1668</v>
      </c>
      <c r="U10" t="str">
        <f t="shared" si="1"/>
        <v>Cybermancy image generator thread: generate an image for hitPoints.png in the size recommended by Foundry VTT for icons.  Focus on the descriptive aspects implied by modules/cybermancy/assets/icons/weapons-feature/scatter.webp in the image generation. hitPoints in Cybermancy has the description of:  Spend a Hope to attack all targets in Very Close range.</v>
      </c>
      <c r="V10" s="4" t="s">
        <v>1412</v>
      </c>
      <c r="W10" t="s">
        <v>1491</v>
      </c>
      <c r="X10" t="s">
        <v>1707</v>
      </c>
      <c r="Y10" t="str">
        <f t="shared" si="2"/>
        <v>Cybermancy image generator thread: generate an image for  Spend a Hope to attack all targets in Very Close range..png in the size recommended by Foundry VTT for icons.  Focus on the descriptive aspects implied by modules/cybermancy/assets/icons/features/point-blank-devastation.webp in the image generation.  Spend a Hope to attack all targets in Very Close range. in Cybermancy has the description of:  Knock back and lose next action.</v>
      </c>
      <c r="Z10" s="4" t="s">
        <v>1492</v>
      </c>
    </row>
    <row r="11" spans="1:26" ht="29" x14ac:dyDescent="0.35">
      <c r="A11" t="s">
        <v>1284</v>
      </c>
      <c r="B11" t="s">
        <v>16</v>
      </c>
      <c r="C11" t="s">
        <v>1624</v>
      </c>
      <c r="D11" t="str">
        <f t="shared" si="0"/>
        <v>Cybermancy image generator thread: generate an image for Sniper Rifle.png in the size recommended by Foundry VTT for icons.  Focus on the descriptive aspects implied by modules/cybermancy/assets/icons/weapons/sniper-rifle.webp in the image generation. Sniper Rifle in Cybermancy has the description of: Precision weapon built for the patient killer — silent, steady, and unerring over long distances.</v>
      </c>
      <c r="E11" s="8" t="s">
        <v>1565</v>
      </c>
      <c r="F11">
        <v>1</v>
      </c>
      <c r="G11" t="b">
        <v>0</v>
      </c>
      <c r="H11" t="s">
        <v>18</v>
      </c>
      <c r="I11" t="s">
        <v>20</v>
      </c>
      <c r="M11" t="s">
        <v>1354</v>
      </c>
      <c r="N11">
        <v>1</v>
      </c>
      <c r="O11" t="s">
        <v>1359</v>
      </c>
      <c r="P11" t="s">
        <v>1328</v>
      </c>
      <c r="Q11" t="s">
        <v>24</v>
      </c>
      <c r="R11" t="s">
        <v>25</v>
      </c>
      <c r="S11" t="s">
        <v>1413</v>
      </c>
      <c r="T11" t="s">
        <v>1669</v>
      </c>
      <c r="U11" t="str">
        <f t="shared" si="1"/>
        <v>Cybermancy image generator thread: generate an image for hitPoints.png in the size recommended by Foundry VTT for icons.  Focus on the descriptive aspects implied by modules/cybermancy/assets/icons/weapons-feature/scoped.webp in the image generation. hitPoints in Cybermancy has the description of:  Spend a round aiming to gain advantage on next shot.</v>
      </c>
      <c r="V11" s="4" t="s">
        <v>1414</v>
      </c>
      <c r="W11" t="s">
        <v>1493</v>
      </c>
      <c r="X11" t="s">
        <v>1708</v>
      </c>
      <c r="Y11" t="str">
        <f t="shared" si="2"/>
        <v>Cybermancy image generator thread: generate an image for  Spend a round aiming to gain advantage on next shot..png in the size recommended by Foundry VTT for icons.  Focus on the descriptive aspects implied by modules/cybermancy/assets/icons/features/through-and-through.webp in the image generation.  Spend a round aiming to gain advantage on next shot. in Cybermancy has the description of:  Bullet passes through to a second target in line.</v>
      </c>
      <c r="Z11" s="4" t="s">
        <v>1494</v>
      </c>
    </row>
    <row r="12" spans="1:26" ht="43.5" x14ac:dyDescent="0.35">
      <c r="A12" t="s">
        <v>1285</v>
      </c>
      <c r="B12" t="s">
        <v>16</v>
      </c>
      <c r="C12" t="s">
        <v>1625</v>
      </c>
      <c r="D12" t="str">
        <f t="shared" si="0"/>
        <v>Cybermancy image generator thread: generate an image for Throwing Knives.png in the size recommended by Foundry VTT for icons.  Focus on the descriptive aspects implied by modules/cybermancy/assets/icons/weapons/throwing-knives.webp in the image generation. Throwing Knives in Cybermancy has the description of: Balanced steel blades designed for silent takedowns or distraction in the shadows.</v>
      </c>
      <c r="E12" s="8" t="s">
        <v>1566</v>
      </c>
      <c r="F12">
        <v>1</v>
      </c>
      <c r="G12" t="b">
        <v>0</v>
      </c>
      <c r="H12" t="s">
        <v>27</v>
      </c>
      <c r="I12" t="s">
        <v>20</v>
      </c>
      <c r="M12" t="s">
        <v>1351</v>
      </c>
      <c r="N12">
        <v>1</v>
      </c>
      <c r="O12" t="s">
        <v>1358</v>
      </c>
      <c r="P12" t="s">
        <v>1329</v>
      </c>
      <c r="Q12" t="s">
        <v>24</v>
      </c>
      <c r="R12" t="s">
        <v>25</v>
      </c>
      <c r="S12" t="s">
        <v>1415</v>
      </c>
      <c r="T12" t="s">
        <v>1670</v>
      </c>
      <c r="U12" t="str">
        <f t="shared" si="1"/>
        <v>Cybermancy image generator thread: generate an image for hitPoints.png in the size recommended by Foundry VTT for icons.  Focus on the descriptive aspects implied by modules/cybermancy/assets/icons/weapons-feature/quick-draw.webp in the image generation. hitPoints in Cybermancy has the description of:  May be used as a reaction against melee attackers.</v>
      </c>
      <c r="V12" s="4" t="s">
        <v>1416</v>
      </c>
      <c r="W12" t="s">
        <v>1495</v>
      </c>
      <c r="X12" t="s">
        <v>1709</v>
      </c>
      <c r="Y12" t="str">
        <f t="shared" si="2"/>
        <v>Cybermancy image generator thread: generate an image for  May be used as a reaction against melee attackers..png in the size recommended by Foundry VTT for icons.  Focus on the descriptive aspects implied by modules/cybermancy/assets/icons/features/pinning-strike.webp in the image generation.  May be used as a reaction against melee attackers. in Cybermancy has the description of:  Pin targets limb, weapon, or clothing, restricting movement.</v>
      </c>
      <c r="Z12" s="4" t="s">
        <v>1604</v>
      </c>
    </row>
    <row r="13" spans="1:26" ht="43.5" x14ac:dyDescent="0.35">
      <c r="A13" t="s">
        <v>1286</v>
      </c>
      <c r="B13" t="s">
        <v>16</v>
      </c>
      <c r="C13" t="s">
        <v>1626</v>
      </c>
      <c r="D13" t="str">
        <f t="shared" si="0"/>
        <v>Cybermancy image generator thread: generate an image for Fragmentation Grenade.png in the size recommended by Foundry VTT for icons.  Focus on the descriptive aspects implied by modules/cybermancy/assets/icons/weapons/fragmentation-grenade.webp in the image generation. Fragmentation Grenade in Cybermancy has the description of: A high-yield fragmentation device scattering lethal shrapnel in every direction.</v>
      </c>
      <c r="E13" s="8" t="s">
        <v>1567</v>
      </c>
      <c r="F13">
        <v>1</v>
      </c>
      <c r="G13" t="b">
        <v>0</v>
      </c>
      <c r="H13" t="s">
        <v>27</v>
      </c>
      <c r="I13" t="s">
        <v>20</v>
      </c>
      <c r="M13" t="s">
        <v>1352</v>
      </c>
      <c r="N13">
        <v>1</v>
      </c>
      <c r="O13" t="s">
        <v>22</v>
      </c>
      <c r="P13" t="s">
        <v>1330</v>
      </c>
      <c r="Q13" t="s">
        <v>24</v>
      </c>
      <c r="R13" t="s">
        <v>25</v>
      </c>
      <c r="S13" t="s">
        <v>1417</v>
      </c>
      <c r="T13" t="s">
        <v>1671</v>
      </c>
      <c r="U13" t="str">
        <f t="shared" si="1"/>
        <v>Cybermancy image generator thread: generate an image for hitPoints.png in the size recommended by Foundry VTT for icons.  Focus on the descriptive aspects implied by modules/cybermancy/assets/icons/weapons-feature/explosive.webp in the image generation. hitPoints in Cybermancy has the description of:  On Hope win, half damage to all in Close range.</v>
      </c>
      <c r="V13" s="4" t="s">
        <v>1418</v>
      </c>
      <c r="W13" t="s">
        <v>1496</v>
      </c>
      <c r="X13" t="s">
        <v>1710</v>
      </c>
      <c r="Y13" t="str">
        <f t="shared" si="2"/>
        <v>Cybermancy image generator thread: generate an image for  On Hope win, half damage to all in Close range..png in the size recommended by Foundry VTT for icons.  Focus on the descriptive aspects implied by modules/cybermancy/assets/icons/features/shrapnel-storm.webp in the image generation.  On Hope win, half damage to all in Close range. in Cybermancy has the description of:  All enemies in area take full damage and mark 1 Stress.</v>
      </c>
      <c r="Z13" s="4" t="s">
        <v>1497</v>
      </c>
    </row>
    <row r="14" spans="1:26" ht="43.5" x14ac:dyDescent="0.35">
      <c r="A14" t="s">
        <v>1287</v>
      </c>
      <c r="B14" t="s">
        <v>16</v>
      </c>
      <c r="C14" t="s">
        <v>1627</v>
      </c>
      <c r="D14" t="str">
        <f t="shared" si="0"/>
        <v>Cybermancy image generator thread: generate an image for EMP Grenade.png in the size recommended by Foundry VTT for icons.  Focus on the descriptive aspects implied by modules/cybermancy/assets/icons/weapons/emp-grenade.webp in the image generation. EMP Grenade in Cybermancy has the description of: Pulse emitter that fries circuits, drones, and cyberware with a single electromagnetic burst.</v>
      </c>
      <c r="E14" s="8" t="s">
        <v>1568</v>
      </c>
      <c r="F14">
        <v>1</v>
      </c>
      <c r="G14" t="b">
        <v>0</v>
      </c>
      <c r="H14" t="s">
        <v>27</v>
      </c>
      <c r="I14" t="s">
        <v>20</v>
      </c>
      <c r="M14" t="s">
        <v>1352</v>
      </c>
      <c r="N14">
        <v>1</v>
      </c>
      <c r="O14" t="s">
        <v>1359</v>
      </c>
      <c r="P14" t="s">
        <v>1331</v>
      </c>
      <c r="Q14" t="s">
        <v>24</v>
      </c>
      <c r="R14" t="s">
        <v>25</v>
      </c>
      <c r="S14" t="s">
        <v>1419</v>
      </c>
      <c r="T14" t="s">
        <v>1672</v>
      </c>
      <c r="U14" t="str">
        <f t="shared" si="1"/>
        <v>Cybermancy image generator thread: generate an image for hitPoints.png in the size recommended by Foundry VTT for icons.  Focus on the descriptive aspects implied by modules/cybermancy/assets/icons/weapons-feature/disruptive.webp in the image generation. hitPoints in Cybermancy has the description of:  On hit, drones/tech in range must succeed or shut down 1 round.</v>
      </c>
      <c r="V14" s="4" t="s">
        <v>1420</v>
      </c>
      <c r="W14" t="s">
        <v>1498</v>
      </c>
      <c r="X14" t="s">
        <v>1711</v>
      </c>
      <c r="Y14" t="str">
        <f t="shared" si="2"/>
        <v>Cybermancy image generator thread: generate an image for  On hit, drones/tech in range must succeed or shut down 1 round..png in the size recommended by Foundry VTT for icons.  Focus on the descriptive aspects implied by modules/cybermancy/assets/icons/features/total-system-crash.webp in the image generation.  On hit, drones/tech in range must succeed or shut down 1 round. in Cybermancy has the description of:  All devices in area disabled until end of scene.</v>
      </c>
      <c r="Z14" s="4" t="s">
        <v>1499</v>
      </c>
    </row>
    <row r="15" spans="1:26" ht="43.5" x14ac:dyDescent="0.35">
      <c r="A15" t="s">
        <v>1288</v>
      </c>
      <c r="B15" t="s">
        <v>16</v>
      </c>
      <c r="C15" t="s">
        <v>1628</v>
      </c>
      <c r="D15" t="str">
        <f t="shared" si="0"/>
        <v>Cybermancy image generator thread: generate an image for Improved Monofilament Whip.png in the size recommended by Foundry VTT for icons.  Focus on the descriptive aspects implied by modules/cybermancy/assets/icons/weapons/improved-monofilament-whip.webp in the image generation. Improved Monofilament Whip in Cybermancy has the description of: A reinforced filament with servo control for higher cutting torque and unmatched lethality.</v>
      </c>
      <c r="E15" s="8" t="s">
        <v>1569</v>
      </c>
      <c r="F15">
        <v>2</v>
      </c>
      <c r="G15" t="b">
        <v>0</v>
      </c>
      <c r="H15" t="s">
        <v>27</v>
      </c>
      <c r="I15" t="s">
        <v>20</v>
      </c>
      <c r="M15" t="s">
        <v>1353</v>
      </c>
      <c r="N15">
        <v>1</v>
      </c>
      <c r="O15" t="s">
        <v>1355</v>
      </c>
      <c r="P15" t="s">
        <v>1332</v>
      </c>
      <c r="Q15" t="s">
        <v>24</v>
      </c>
      <c r="R15" t="s">
        <v>25</v>
      </c>
      <c r="S15" t="s">
        <v>1397</v>
      </c>
      <c r="T15" t="s">
        <v>1673</v>
      </c>
      <c r="U15" t="str">
        <f t="shared" si="1"/>
        <v>Cybermancy image generator thread: generate an image for hitPoints.png in the size recommended by Foundry VTT for icons.  Focus on the descriptive aspects implied by modules/cybermancy/assets/icons/weapons-feature/lethal-edge.webp in the image generation. hitPoints in Cybermancy has the description of:  On a Hope win, upgrade one damage die to max value.</v>
      </c>
      <c r="V15" s="4" t="s">
        <v>1421</v>
      </c>
      <c r="W15" t="s">
        <v>1500</v>
      </c>
      <c r="X15" t="s">
        <v>1712</v>
      </c>
      <c r="Y15" t="str">
        <f t="shared" si="2"/>
        <v>Cybermancy image generator thread: generate an image for  On a Hope win, upgrade one damage die to max value..png in the size recommended by Foundry VTT for icons.  Focus on the descriptive aspects implied by modules/cybermancy/assets/icons/features/severance.webp in the image generation.  On a Hope win, upgrade one damage die to max value. in Cybermancy has the description of:  Cut through armor, restraints, or environmental barriers.</v>
      </c>
      <c r="Z15" s="4" t="s">
        <v>1501</v>
      </c>
    </row>
    <row r="16" spans="1:26" ht="29" x14ac:dyDescent="0.35">
      <c r="A16" t="s">
        <v>1289</v>
      </c>
      <c r="B16" t="s">
        <v>16</v>
      </c>
      <c r="C16" t="s">
        <v>1629</v>
      </c>
      <c r="D16" t="str">
        <f t="shared" si="0"/>
        <v>Cybermancy image generator thread: generate an image for Improved Cyber Spur.png in the size recommended by Foundry VTT for icons.  Focus on the descriptive aspects implied by modules/cybermancy/assets/icons/weapons/improved-cyber-spur.webp in the image generation. Improved Cyber Spur in Cybermancy has the description of: Enhanced retractable spurs forged from titanium alloy, near undetectable by security scanners.</v>
      </c>
      <c r="E16" s="8" t="s">
        <v>1570</v>
      </c>
      <c r="F16">
        <v>2</v>
      </c>
      <c r="G16" t="b">
        <v>0</v>
      </c>
      <c r="H16" t="s">
        <v>27</v>
      </c>
      <c r="I16" t="s">
        <v>20</v>
      </c>
      <c r="M16" t="s">
        <v>21</v>
      </c>
      <c r="N16">
        <v>1</v>
      </c>
      <c r="O16" t="s">
        <v>1356</v>
      </c>
      <c r="P16" t="s">
        <v>1328</v>
      </c>
      <c r="Q16" t="s">
        <v>24</v>
      </c>
      <c r="R16" t="s">
        <v>25</v>
      </c>
      <c r="S16" t="s">
        <v>1399</v>
      </c>
      <c r="T16" t="s">
        <v>1674</v>
      </c>
      <c r="U16" t="str">
        <f t="shared" si="1"/>
        <v>Cybermancy image generator thread: generate an image for hitPoints.png in the size recommended by Foundry VTT for icons.  Focus on the descriptive aspects implied by modules/cybermancy/assets/icons/weapons-feature/concealed.webp in the image generation. hitPoints in Cybermancy has the description of:  Cannot be detected by casual scans.</v>
      </c>
      <c r="V16" s="4" t="s">
        <v>1422</v>
      </c>
      <c r="W16" t="s">
        <v>1502</v>
      </c>
      <c r="X16" t="s">
        <v>1713</v>
      </c>
      <c r="Y16" t="str">
        <f t="shared" si="2"/>
        <v>Cybermancy image generator thread: generate an image for  Cannot be detected by casual scans..png in the size recommended by Foundry VTT for icons.  Focus on the descriptive aspects implied by modules/cybermancy/assets/icons/features/spinal-strike.webp in the image generation.  Cannot be detected by casual scans. in Cybermancy has the description of:  Target is paralyzed for 1 round.</v>
      </c>
      <c r="Z16" s="4" t="s">
        <v>1503</v>
      </c>
    </row>
    <row r="17" spans="1:26" ht="29" x14ac:dyDescent="0.35">
      <c r="A17" t="s">
        <v>1290</v>
      </c>
      <c r="B17" t="s">
        <v>16</v>
      </c>
      <c r="C17" t="s">
        <v>1630</v>
      </c>
      <c r="D17" t="str">
        <f t="shared" si="0"/>
        <v>Cybermancy image generator thread: generate an image for Improved Shock Baton.png in the size recommended by Foundry VTT for icons.  Focus on the descriptive aspects implied by modules/cybermancy/assets/icons/weapons/improved-shock-baton.webp in the image generation. Improved Shock Baton in Cybermancy has the description of: Upgraded battery coils deliver chained electrical arcs between multiple nearby targets.</v>
      </c>
      <c r="E17" s="8" t="s">
        <v>1571</v>
      </c>
      <c r="F17">
        <v>2</v>
      </c>
      <c r="G17" t="b">
        <v>0</v>
      </c>
      <c r="H17" t="s">
        <v>27</v>
      </c>
      <c r="I17" t="s">
        <v>20</v>
      </c>
      <c r="M17" t="s">
        <v>1351</v>
      </c>
      <c r="N17">
        <v>1</v>
      </c>
      <c r="O17" t="s">
        <v>1357</v>
      </c>
      <c r="P17" t="s">
        <v>1326</v>
      </c>
      <c r="Q17" t="s">
        <v>24</v>
      </c>
      <c r="R17" t="s">
        <v>25</v>
      </c>
      <c r="S17" t="s">
        <v>1423</v>
      </c>
      <c r="T17" t="s">
        <v>1675</v>
      </c>
      <c r="U17" t="str">
        <f t="shared" si="1"/>
        <v>Cybermancy image generator thread: generate an image for hitPoints.png in the size recommended by Foundry VTT for icons.  Focus on the descriptive aspects implied by modules/cybermancy/assets/icons/weapons-feature/arc-charge.webp in the image generation. hitPoints in Cybermancy has the description of:  Spend 1 Stress to arc lightning to another Very Close target.</v>
      </c>
      <c r="V17" s="4" t="s">
        <v>1424</v>
      </c>
      <c r="W17" t="s">
        <v>1504</v>
      </c>
      <c r="X17" t="s">
        <v>1714</v>
      </c>
      <c r="Y17" t="str">
        <f t="shared" si="2"/>
        <v>Cybermancy image generator thread: generate an image for  Spend 1 Stress to arc lightning to another Very Close target..png in the size recommended by Foundry VTT for icons.  Focus on the descriptive aspects implied by modules/cybermancy/assets/icons/features/overload.webp in the image generation.  Spend 1 Stress to arc lightning to another Very Close target. in Cybermancy has the description of:  Targets nervous system locks up; they drop gear.</v>
      </c>
      <c r="Z17" s="4" t="s">
        <v>1605</v>
      </c>
    </row>
    <row r="18" spans="1:26" ht="29" x14ac:dyDescent="0.35">
      <c r="A18" t="s">
        <v>1291</v>
      </c>
      <c r="B18" t="s">
        <v>16</v>
      </c>
      <c r="C18" t="s">
        <v>1631</v>
      </c>
      <c r="D18" t="str">
        <f t="shared" si="0"/>
        <v>Cybermancy image generator thread: generate an image for Improved Vibro-Knife.png in the size recommended by Foundry VTT for icons.  Focus on the descriptive aspects implied by modules/cybermancy/assets/icons/weapons/improved-vibro-knife.webp in the image generation. Improved Vibro-Knife in Cybermancy has the description of: Precision-tuned vibration edge allows for armor penetration and silent, efficient kills.</v>
      </c>
      <c r="E18" s="8" t="s">
        <v>1572</v>
      </c>
      <c r="F18">
        <v>2</v>
      </c>
      <c r="G18" t="b">
        <v>0</v>
      </c>
      <c r="H18" t="s">
        <v>27</v>
      </c>
      <c r="I18" t="s">
        <v>20</v>
      </c>
      <c r="M18" t="s">
        <v>21</v>
      </c>
      <c r="N18">
        <v>1</v>
      </c>
      <c r="O18" t="s">
        <v>1358</v>
      </c>
      <c r="P18" t="s">
        <v>1333</v>
      </c>
      <c r="Q18" t="s">
        <v>24</v>
      </c>
      <c r="R18" t="s">
        <v>25</v>
      </c>
      <c r="S18" t="s">
        <v>1403</v>
      </c>
      <c r="T18" t="s">
        <v>1676</v>
      </c>
      <c r="U18" t="str">
        <f t="shared" si="1"/>
        <v>Cybermancy image generator thread: generate an image for hitPoints.png in the size recommended by Foundry VTT for icons.  Focus on the descriptive aspects implied by modules/cybermancy/assets/icons/weapons-feature/piercing.webp in the image generation. hitPoints in Cybermancy has the description of:  Ignores 1 level of armor.</v>
      </c>
      <c r="V18" s="4" t="s">
        <v>1425</v>
      </c>
      <c r="W18" t="s">
        <v>1602</v>
      </c>
      <c r="X18" t="s">
        <v>1715</v>
      </c>
      <c r="Y18" t="str">
        <f t="shared" si="2"/>
        <v>Cybermancy image generator thread: generate an image for  Ignores 1 level of armor..png in the size recommended by Foundry VTT for icons.  Focus on the descriptive aspects implied by modules/cybermancy/assets/icons/features/assassins-cut.webp in the image generation.  Ignores 1 level of armor. in Cybermancy has the description of:  Severe damage ignoring defenses.</v>
      </c>
      <c r="Z18" s="4" t="s">
        <v>1505</v>
      </c>
    </row>
    <row r="19" spans="1:26" ht="29" x14ac:dyDescent="0.35">
      <c r="A19" t="s">
        <v>1292</v>
      </c>
      <c r="B19" t="s">
        <v>16</v>
      </c>
      <c r="C19" t="s">
        <v>1632</v>
      </c>
      <c r="D19" t="str">
        <f t="shared" si="0"/>
        <v>Cybermancy image generator thread: generate an image for Smartpistol Mk II.png in the size recommended by Foundry VTT for icons.  Focus on the descriptive aspects implied by modules/cybermancy/assets/icons/weapons/smartpistol-mk-ii.webp in the image generation. Smartpistol Mk II in Cybermancy has the description of: Improved ballistic computer with predictive recoil compensation and infrared tracking.</v>
      </c>
      <c r="E19" s="8" t="s">
        <v>1573</v>
      </c>
      <c r="F19">
        <v>2</v>
      </c>
      <c r="G19" t="b">
        <v>0</v>
      </c>
      <c r="H19" t="s">
        <v>27</v>
      </c>
      <c r="I19" t="s">
        <v>20</v>
      </c>
      <c r="M19" t="s">
        <v>1352</v>
      </c>
      <c r="N19">
        <v>1</v>
      </c>
      <c r="O19" t="s">
        <v>1355</v>
      </c>
      <c r="P19" t="s">
        <v>1334</v>
      </c>
      <c r="Q19" t="s">
        <v>24</v>
      </c>
      <c r="R19" t="s">
        <v>25</v>
      </c>
      <c r="S19" t="s">
        <v>1405</v>
      </c>
      <c r="T19" t="s">
        <v>1677</v>
      </c>
      <c r="U19" t="str">
        <f t="shared" si="1"/>
        <v>Cybermancy image generator thread: generate an image for hitPoints.png in the size recommended by Foundry VTT for icons.  Focus on the descriptive aspects implied by modules/cybermancy/assets/icons/weapons-feature/smartlink.webp in the image generation. hitPoints in Cybermancy has the description of:  Auto-correct; reroll a miss once per scene.</v>
      </c>
      <c r="V19" s="4" t="s">
        <v>1426</v>
      </c>
      <c r="W19" t="s">
        <v>1506</v>
      </c>
      <c r="X19" t="s">
        <v>1716</v>
      </c>
      <c r="Y19" t="str">
        <f t="shared" si="2"/>
        <v>Cybermancy image generator thread: generate an image for  Auto-correct; reroll a miss once per scene..png in the size recommended by Foundry VTT for icons.  Focus on the descriptive aspects implied by modules/cybermancy/assets/icons/features/eye-shot.webp in the image generation.  Auto-correct; reroll a miss once per scene. in Cybermancy has the description of:  Disable optics or key sensors.</v>
      </c>
      <c r="Z19" s="4" t="s">
        <v>1507</v>
      </c>
    </row>
    <row r="20" spans="1:26" ht="43.5" x14ac:dyDescent="0.35">
      <c r="A20" t="s">
        <v>1293</v>
      </c>
      <c r="B20" t="s">
        <v>16</v>
      </c>
      <c r="C20" t="s">
        <v>1633</v>
      </c>
      <c r="D20" t="str">
        <f t="shared" si="0"/>
        <v>Cybermancy image generator thread: generate an image for Compact SMG.png in the size recommended by Foundry VTT for icons.  Focus on the descriptive aspects implied by modules/cybermancy/assets/icons/weapons/compact-smg.webp in the image generation. Compact SMG in Cybermancy has the description of: A miniaturized submachine gun favored by covert teams — concealable but vicious in a firefight.</v>
      </c>
      <c r="E20" s="8" t="s">
        <v>1574</v>
      </c>
      <c r="F20">
        <v>2</v>
      </c>
      <c r="G20" t="b">
        <v>0</v>
      </c>
      <c r="H20" t="s">
        <v>18</v>
      </c>
      <c r="I20" t="s">
        <v>20</v>
      </c>
      <c r="M20" t="s">
        <v>1351</v>
      </c>
      <c r="N20">
        <v>1</v>
      </c>
      <c r="O20" t="s">
        <v>1358</v>
      </c>
      <c r="P20" t="s">
        <v>1335</v>
      </c>
      <c r="Q20" t="s">
        <v>24</v>
      </c>
      <c r="R20" t="s">
        <v>25</v>
      </c>
      <c r="S20" t="s">
        <v>1407</v>
      </c>
      <c r="T20" t="s">
        <v>1666</v>
      </c>
      <c r="U20" t="str">
        <f t="shared" si="1"/>
        <v>Cybermancy image generator thread: generate an image for hitPoints.png in the size recommended by Foundry VTT for icons.  Focus on the descriptive aspects implied by modules/cybermancy/assets/icons/weapons-feature/burst-fire.webp in the image generation. hitPoints in Cybermancy has the description of:  Spend Hope to hit two targets in Close range.</v>
      </c>
      <c r="V20" s="4" t="s">
        <v>1427</v>
      </c>
      <c r="W20" t="s">
        <v>1508</v>
      </c>
      <c r="X20" t="s">
        <v>1717</v>
      </c>
      <c r="Y20" t="str">
        <f t="shared" si="2"/>
        <v>Cybermancy image generator thread: generate an image for  Spend Hope to hit two targets in Close range..png in the size recommended by Foundry VTT for icons.  Focus on the descriptive aspects implied by modules/cybermancy/assets/icons/features/crowd-control.webp in the image generation.  Spend Hope to hit two targets in Close range. in Cybermancy has the description of:  Panic/disrupt all enemies in Very Close range.</v>
      </c>
      <c r="Z20" s="4" t="s">
        <v>1509</v>
      </c>
    </row>
    <row r="21" spans="1:26" ht="29" x14ac:dyDescent="0.35">
      <c r="A21" t="s">
        <v>1294</v>
      </c>
      <c r="B21" t="s">
        <v>16</v>
      </c>
      <c r="C21" t="s">
        <v>1634</v>
      </c>
      <c r="D21" t="str">
        <f t="shared" si="0"/>
        <v>Cybermancy image generator thread: generate an image for Military Assault Rifle.png in the size recommended by Foundry VTT for icons.  Focus on the descriptive aspects implied by modules/cybermancy/assets/icons/weapons/military-assault-rifle.webp in the image generation. Military Assault Rifle in Cybermancy has the description of: Hardened composite frame with select-fire and tactical uplink for squad-level coordination.</v>
      </c>
      <c r="E21" s="8" t="s">
        <v>1575</v>
      </c>
      <c r="F21">
        <v>2</v>
      </c>
      <c r="G21" t="b">
        <v>0</v>
      </c>
      <c r="H21" t="s">
        <v>18</v>
      </c>
      <c r="I21" t="s">
        <v>20</v>
      </c>
      <c r="M21" t="s">
        <v>1352</v>
      </c>
      <c r="N21">
        <v>1</v>
      </c>
      <c r="O21" t="s">
        <v>22</v>
      </c>
      <c r="P21" t="s">
        <v>1336</v>
      </c>
      <c r="Q21" t="s">
        <v>24</v>
      </c>
      <c r="R21" t="s">
        <v>25</v>
      </c>
      <c r="S21" t="s">
        <v>1409</v>
      </c>
      <c r="T21" t="s">
        <v>1667</v>
      </c>
      <c r="U21" t="str">
        <f t="shared" si="1"/>
        <v>Cybermancy image generator thread: generate an image for hitPoints.png in the size recommended by Foundry VTT for icons.  Focus on the descriptive aspects implied by modules/cybermancy/assets/icons/weapons-feature/suppressive-fire.webp in the image generation. hitPoints in Cybermancy has the description of:  On Hope win, all enemies in line of fire mark Stress.</v>
      </c>
      <c r="V21" s="4" t="s">
        <v>1428</v>
      </c>
      <c r="W21" t="s">
        <v>1510</v>
      </c>
      <c r="X21" t="s">
        <v>1718</v>
      </c>
      <c r="Y21" t="str">
        <f t="shared" si="2"/>
        <v>Cybermancy image generator thread: generate an image for  On Hope win, all enemies in line of fire mark Stress..png in the size recommended by Foundry VTT for icons.  Focus on the descriptive aspects implied by modules/cybermancy/assets/icons/features/armor-break.webp in the image generation.  On Hope win, all enemies in line of fire mark Stress. in Cybermancy has the description of:  Ignore armor; bullets chew through cover.</v>
      </c>
      <c r="Z21" s="4" t="s">
        <v>1511</v>
      </c>
    </row>
    <row r="22" spans="1:26" ht="29" x14ac:dyDescent="0.35">
      <c r="A22" t="s">
        <v>1295</v>
      </c>
      <c r="B22" t="s">
        <v>16</v>
      </c>
      <c r="C22" t="s">
        <v>1635</v>
      </c>
      <c r="D22" t="str">
        <f t="shared" si="0"/>
        <v>Cybermancy image generator thread: generate an image for Street Sweeper Shotgun.png in the size recommended by Foundry VTT for icons.  Focus on the descriptive aspects implied by modules/cybermancy/assets/icons/weapons/street-sweeper-shotgun.webp in the image generation. Street Sweeper Shotgun in Cybermancy has the description of: Heavy drum-fed shotgun designed to clear rooms and alleys in seconds.</v>
      </c>
      <c r="E22" s="8" t="s">
        <v>1576</v>
      </c>
      <c r="F22">
        <v>2</v>
      </c>
      <c r="G22" t="b">
        <v>0</v>
      </c>
      <c r="H22" t="s">
        <v>18</v>
      </c>
      <c r="I22" t="s">
        <v>20</v>
      </c>
      <c r="M22" t="s">
        <v>1351</v>
      </c>
      <c r="N22">
        <v>1</v>
      </c>
      <c r="O22" t="s">
        <v>1356</v>
      </c>
      <c r="P22" t="s">
        <v>1337</v>
      </c>
      <c r="Q22" t="s">
        <v>24</v>
      </c>
      <c r="R22" t="s">
        <v>25</v>
      </c>
      <c r="S22" t="s">
        <v>1429</v>
      </c>
      <c r="T22" t="s">
        <v>1678</v>
      </c>
      <c r="U22" t="str">
        <f t="shared" si="1"/>
        <v>Cybermancy image generator thread: generate an image for hitPoints.png in the size recommended by Foundry VTT for icons.  Focus on the descriptive aspects implied by modules/cybermancy/assets/icons/weapons-feature/wide-scatter.webp in the image generation. hitPoints in Cybermancy has the description of:  Attack all targets in Very Close range once per scene.</v>
      </c>
      <c r="V22" s="4" t="s">
        <v>1430</v>
      </c>
      <c r="W22" t="s">
        <v>1512</v>
      </c>
      <c r="X22" t="s">
        <v>1719</v>
      </c>
      <c r="Y22" t="str">
        <f t="shared" si="2"/>
        <v>Cybermancy image generator thread: generate an image for  Attack all targets in Very Close range once per scene..png in the size recommended by Foundry VTT for icons.  Focus on the descriptive aspects implied by modules/cybermancy/assets/icons/features/bone-shaker.webp in the image generation.  Attack all targets in Very Close range once per scene. in Cybermancy has the description of:  Target knocked prone and loses next turn.</v>
      </c>
      <c r="Z22" s="4" t="s">
        <v>1513</v>
      </c>
    </row>
    <row r="23" spans="1:26" ht="29" x14ac:dyDescent="0.35">
      <c r="A23" t="s">
        <v>1296</v>
      </c>
      <c r="B23" t="s">
        <v>16</v>
      </c>
      <c r="C23" t="s">
        <v>1636</v>
      </c>
      <c r="D23" t="str">
        <f t="shared" si="0"/>
        <v>Cybermancy image generator thread: generate an image for Scoped Sniper Rifle.png in the size recommended by Foundry VTT for icons.  Focus on the descriptive aspects implied by modules/cybermancy/assets/icons/weapons/scoped-sniper-rifle.webp in the image generation. Scoped Sniper Rifle in Cybermancy has the description of: Enhanced optics suite allows bullet trajectory correction and real-time target telemetry.</v>
      </c>
      <c r="E23" s="8" t="s">
        <v>1577</v>
      </c>
      <c r="F23">
        <v>2</v>
      </c>
      <c r="G23" t="b">
        <v>0</v>
      </c>
      <c r="H23" t="s">
        <v>18</v>
      </c>
      <c r="I23" t="s">
        <v>20</v>
      </c>
      <c r="M23" t="s">
        <v>1354</v>
      </c>
      <c r="N23">
        <v>1</v>
      </c>
      <c r="O23" t="s">
        <v>1359</v>
      </c>
      <c r="P23" t="s">
        <v>1336</v>
      </c>
      <c r="Q23" t="s">
        <v>24</v>
      </c>
      <c r="R23" t="s">
        <v>25</v>
      </c>
      <c r="S23" t="s">
        <v>1413</v>
      </c>
      <c r="T23" t="s">
        <v>1669</v>
      </c>
      <c r="U23" t="str">
        <f t="shared" si="1"/>
        <v>Cybermancy image generator thread: generate an image for hitPoints.png in the size recommended by Foundry VTT for icons.  Focus on the descriptive aspects implied by modules/cybermancy/assets/icons/weapons-feature/scoped.webp in the image generation. hitPoints in Cybermancy has the description of:  Aim for advantage; crit chance rises if aiming 1 round.</v>
      </c>
      <c r="V23" s="4" t="s">
        <v>1431</v>
      </c>
      <c r="W23" t="s">
        <v>1493</v>
      </c>
      <c r="X23" t="s">
        <v>1708</v>
      </c>
      <c r="Y23" t="str">
        <f t="shared" si="2"/>
        <v>Cybermancy image generator thread: generate an image for  Aim for advantage; crit chance rises if aiming 1 round..png in the size recommended by Foundry VTT for icons.  Focus on the descriptive aspects implied by modules/cybermancy/assets/icons/features/through-and-through.webp in the image generation.  Aim for advantage; crit chance rises if aiming 1 round. in Cybermancy has the description of:  Shot penetrates multiple targets.</v>
      </c>
      <c r="Z23" s="4" t="s">
        <v>1514</v>
      </c>
    </row>
    <row r="24" spans="1:26" ht="29" x14ac:dyDescent="0.35">
      <c r="A24" t="s">
        <v>1297</v>
      </c>
      <c r="B24" t="s">
        <v>16</v>
      </c>
      <c r="C24" t="s">
        <v>1637</v>
      </c>
      <c r="D24" t="str">
        <f t="shared" si="0"/>
        <v>Cybermancy image generator thread: generate an image for Fragmentation Grenade+.png in the size recommended by Foundry VTT for icons.  Focus on the descriptive aspects implied by modules/cybermancy/assets/icons/weapons/fragmentation-grenade-plus.webp in the image generation. Fragmentation Grenade+ in Cybermancy has the description of: Factory-tuned military variant with denser shrapnel spread and wider kill radius.</v>
      </c>
      <c r="E24" s="8" t="s">
        <v>1578</v>
      </c>
      <c r="F24">
        <v>2</v>
      </c>
      <c r="G24" t="b">
        <v>0</v>
      </c>
      <c r="H24" t="s">
        <v>27</v>
      </c>
      <c r="I24" t="s">
        <v>20</v>
      </c>
      <c r="M24" t="s">
        <v>1352</v>
      </c>
      <c r="N24">
        <v>1</v>
      </c>
      <c r="O24" t="s">
        <v>22</v>
      </c>
      <c r="P24" t="s">
        <v>1337</v>
      </c>
      <c r="Q24" t="s">
        <v>24</v>
      </c>
      <c r="R24" t="s">
        <v>25</v>
      </c>
      <c r="S24" t="s">
        <v>1417</v>
      </c>
      <c r="T24" t="s">
        <v>1671</v>
      </c>
      <c r="U24" t="str">
        <f t="shared" si="1"/>
        <v>Cybermancy image generator thread: generate an image for hitPoints.png in the size recommended by Foundry VTT for icons.  Focus on the descriptive aspects implied by modules/cybermancy/assets/icons/weapons-feature/explosive.webp in the image generation. hitPoints in Cybermancy has the description of:  Half damage to adjacent zones.</v>
      </c>
      <c r="V24" s="4" t="s">
        <v>1432</v>
      </c>
      <c r="W24" t="s">
        <v>1515</v>
      </c>
      <c r="X24" t="s">
        <v>1720</v>
      </c>
      <c r="Y24" t="str">
        <f t="shared" si="2"/>
        <v>Cybermancy image generator thread: generate an image for  Half damage to adjacent zones..png in the size recommended by Foundry VTT for icons.  Focus on the descriptive aspects implied by modules/cybermancy/assets/icons/features/massive-detonation.webp in the image generation.  Half damage to adjacent zones. in Cybermancy has the description of:  Full damage in wider zone (Far).</v>
      </c>
      <c r="Z24" s="4" t="s">
        <v>1516</v>
      </c>
    </row>
    <row r="25" spans="1:26" ht="29" x14ac:dyDescent="0.35">
      <c r="A25" t="s">
        <v>1298</v>
      </c>
      <c r="B25" t="s">
        <v>16</v>
      </c>
      <c r="C25" t="s">
        <v>1638</v>
      </c>
      <c r="D25" t="str">
        <f t="shared" si="0"/>
        <v>Cybermancy image generator thread: generate an image for EMP Grenade+.png in the size recommended by Foundry VTT for icons.  Focus on the descriptive aspects implied by modules/cybermancy/assets/icons/weapons/emp-grenade-plus.webp in the image generation. EMP Grenade+ in Cybermancy has the description of: Improved electromagnetic charge capable of disabling entire comm grids in seconds.</v>
      </c>
      <c r="E25" s="8" t="s">
        <v>1579</v>
      </c>
      <c r="F25">
        <v>2</v>
      </c>
      <c r="G25" t="b">
        <v>0</v>
      </c>
      <c r="H25" t="s">
        <v>27</v>
      </c>
      <c r="I25" t="s">
        <v>20</v>
      </c>
      <c r="M25" t="s">
        <v>1352</v>
      </c>
      <c r="N25">
        <v>1</v>
      </c>
      <c r="O25" t="s">
        <v>1359</v>
      </c>
      <c r="P25" t="s">
        <v>1321</v>
      </c>
      <c r="Q25" t="s">
        <v>24</v>
      </c>
      <c r="R25" t="s">
        <v>25</v>
      </c>
      <c r="S25" t="s">
        <v>1419</v>
      </c>
      <c r="T25" t="s">
        <v>1672</v>
      </c>
      <c r="U25" t="str">
        <f t="shared" si="1"/>
        <v>Cybermancy image generator thread: generate an image for hitPoints.png in the size recommended by Foundry VTT for icons.  Focus on the descriptive aspects implied by modules/cybermancy/assets/icons/weapons-feature/disruptive.webp in the image generation. hitPoints in Cybermancy has the description of:  Drones/tech roll at Disadvantage.</v>
      </c>
      <c r="V25" s="4" t="s">
        <v>1433</v>
      </c>
      <c r="W25" t="s">
        <v>1517</v>
      </c>
      <c r="X25" t="s">
        <v>1721</v>
      </c>
      <c r="Y25" t="str">
        <f t="shared" si="2"/>
        <v>Cybermancy image generator thread: generate an image for  Drones/tech roll at Disadvantage..png in the size recommended by Foundry VTT for icons.  Focus on the descriptive aspects implied by modules/cybermancy/assets/icons/features/grid-blackout.webp in the image generation.  Drones/tech roll at Disadvantage. in Cybermancy has the description of:  All tech shuts down until reboot.</v>
      </c>
      <c r="Z25" s="4" t="s">
        <v>1518</v>
      </c>
    </row>
    <row r="26" spans="1:26" ht="43.5" x14ac:dyDescent="0.35">
      <c r="A26" t="s">
        <v>1299</v>
      </c>
      <c r="B26" t="s">
        <v>16</v>
      </c>
      <c r="C26" t="s">
        <v>1639</v>
      </c>
      <c r="D26" t="str">
        <f t="shared" si="0"/>
        <v>Cybermancy image generator thread: generate an image for Corporate Mono-Whip.png in the size recommended by Foundry VTT for icons.  Focus on the descriptive aspects implied by modules/cybermancy/assets/icons/weapons/corporate-mono-whip.webp in the image generation. Corporate Mono-Whip in Cybermancy has the description of: A high-grade monofilament weapon issued to elite corp assassins — silent, perfect, final.</v>
      </c>
      <c r="E26" s="8" t="s">
        <v>1580</v>
      </c>
      <c r="F26">
        <v>3</v>
      </c>
      <c r="G26" t="b">
        <v>0</v>
      </c>
      <c r="H26" t="s">
        <v>27</v>
      </c>
      <c r="I26" t="s">
        <v>20</v>
      </c>
      <c r="M26" t="s">
        <v>1353</v>
      </c>
      <c r="N26">
        <v>1</v>
      </c>
      <c r="O26" t="s">
        <v>1355</v>
      </c>
      <c r="P26" t="s">
        <v>1338</v>
      </c>
      <c r="Q26" t="s">
        <v>24</v>
      </c>
      <c r="R26" t="s">
        <v>25</v>
      </c>
      <c r="S26" t="s">
        <v>1397</v>
      </c>
      <c r="T26" t="s">
        <v>1673</v>
      </c>
      <c r="U26" t="str">
        <f t="shared" si="1"/>
        <v>Cybermancy image generator thread: generate an image for hitPoints.png in the size recommended by Foundry VTT for icons.  Focus on the descriptive aspects implied by modules/cybermancy/assets/icons/weapons-feature/lethal-edge.webp in the image generation. hitPoints in Cybermancy has the description of:  Can slice through vehicles on Hope crit.</v>
      </c>
      <c r="V26" s="4" t="s">
        <v>1434</v>
      </c>
      <c r="W26" t="s">
        <v>1519</v>
      </c>
      <c r="X26" t="s">
        <v>1722</v>
      </c>
      <c r="Y26" t="str">
        <f t="shared" si="2"/>
        <v>Cybermancy image generator thread: generate an image for  Can slice through vehicles on Hope crit..png in the size recommended by Foundry VTT for icons.  Focus on the descriptive aspects implied by modules/cybermancy/assets/icons/features/corpse-cutter.webp in the image generation.  Can slice through vehicles on Hope crit. in Cybermancy has the description of:  Destroy one environmental object (door, drone, wall).</v>
      </c>
      <c r="Z26" s="4" t="s">
        <v>1520</v>
      </c>
    </row>
    <row r="27" spans="1:26" ht="29" x14ac:dyDescent="0.35">
      <c r="A27" t="s">
        <v>1300</v>
      </c>
      <c r="B27" t="s">
        <v>16</v>
      </c>
      <c r="C27" t="s">
        <v>1640</v>
      </c>
      <c r="D27" t="str">
        <f t="shared" si="0"/>
        <v>Cybermancy image generator thread: generate an image for Titanium Cyber Spurs.png in the size recommended by Foundry VTT for icons.  Focus on the descriptive aspects implied by modules/cybermancy/assets/icons/weapons/titanium-cyber-spurs.webp in the image generation. Titanium Cyber Spurs in Cybermancy has the description of: Polished titanium spurs with self-cleaning servos and monomolecular precision edges.</v>
      </c>
      <c r="E27" s="8" t="s">
        <v>1581</v>
      </c>
      <c r="F27">
        <v>3</v>
      </c>
      <c r="G27" t="b">
        <v>0</v>
      </c>
      <c r="H27" t="s">
        <v>27</v>
      </c>
      <c r="I27" t="s">
        <v>20</v>
      </c>
      <c r="M27" t="s">
        <v>21</v>
      </c>
      <c r="N27">
        <v>1</v>
      </c>
      <c r="O27" t="s">
        <v>1356</v>
      </c>
      <c r="P27" t="s">
        <v>1339</v>
      </c>
      <c r="Q27" t="s">
        <v>24</v>
      </c>
      <c r="R27" t="s">
        <v>25</v>
      </c>
      <c r="S27" t="s">
        <v>1435</v>
      </c>
      <c r="T27" t="s">
        <v>1679</v>
      </c>
      <c r="U27" t="str">
        <f t="shared" si="1"/>
        <v>Cybermancy image generator thread: generate an image for hitPoints.png in the size recommended by Foundry VTT for icons.  Focus on the descriptive aspects implied by modules/cybermancy/assets/icons/weapons-feature/hidden-killer.webp in the image generation. hitPoints in Cybermancy has the description of:  +2 to first attack in combat.</v>
      </c>
      <c r="V27" s="4" t="s">
        <v>1436</v>
      </c>
      <c r="W27" t="s">
        <v>1521</v>
      </c>
      <c r="X27" t="s">
        <v>1723</v>
      </c>
      <c r="Y27" t="str">
        <f t="shared" si="2"/>
        <v>Cybermancy image generator thread: generate an image for  +2 to first attack in combat..png in the size recommended by Foundry VTT for icons.  Focus on the descriptive aspects implied by modules/cybermancy/assets/icons/features/critical-tendons.webp in the image generation.  +2 to first attack in combat. in Cybermancy has the description of:  Cripple targets mobility permanently.</v>
      </c>
      <c r="Z27" s="4" t="s">
        <v>1606</v>
      </c>
    </row>
    <row r="28" spans="1:26" ht="29" x14ac:dyDescent="0.35">
      <c r="A28" t="s">
        <v>1301</v>
      </c>
      <c r="B28" t="s">
        <v>16</v>
      </c>
      <c r="C28" t="s">
        <v>1641</v>
      </c>
      <c r="D28" t="str">
        <f t="shared" si="0"/>
        <v>Cybermancy image generator thread: generate an image for Heavy Shock Baton.png in the size recommended by Foundry VTT for icons.  Focus on the descriptive aspects implied by modules/cybermancy/assets/icons/weapons/heavy-shock-baton.webp in the image generation. Heavy Shock Baton in Cybermancy has the description of: Industrial security baton capable of stunning cybernetic brutes and armored enforcers alike.</v>
      </c>
      <c r="E28" s="8" t="s">
        <v>1582</v>
      </c>
      <c r="F28">
        <v>3</v>
      </c>
      <c r="G28" t="b">
        <v>0</v>
      </c>
      <c r="H28" t="s">
        <v>27</v>
      </c>
      <c r="I28" t="s">
        <v>20</v>
      </c>
      <c r="M28" t="s">
        <v>1351</v>
      </c>
      <c r="N28">
        <v>1</v>
      </c>
      <c r="O28" t="s">
        <v>1357</v>
      </c>
      <c r="P28" t="s">
        <v>1340</v>
      </c>
      <c r="Q28" t="s">
        <v>24</v>
      </c>
      <c r="R28" t="s">
        <v>25</v>
      </c>
      <c r="S28" t="s">
        <v>1437</v>
      </c>
      <c r="T28" t="s">
        <v>1680</v>
      </c>
      <c r="U28" t="str">
        <f t="shared" si="1"/>
        <v>Cybermancy image generator thread: generate an image for hitPoints.png in the size recommended by Foundry VTT for icons.  Focus on the descriptive aspects implied by modules/cybermancy/assets/icons/weapons-feature/chain-lightning.webp in the image generation. hitPoints in Cybermancy has the description of:  Spend 2 Hope, arc to 2 additional targets.</v>
      </c>
      <c r="V28" s="4" t="s">
        <v>1438</v>
      </c>
      <c r="W28" t="s">
        <v>1522</v>
      </c>
      <c r="X28" t="s">
        <v>1724</v>
      </c>
      <c r="Y28" t="str">
        <f t="shared" si="2"/>
        <v>Cybermancy image generator thread: generate an image for  Spend 2 Hope, arc to 2 additional targets..png in the size recommended by Foundry VTT for icons.  Focus on the descriptive aspects implied by modules/cybermancy/assets/icons/features/system-shutdown.webp in the image generation.  Spend 2 Hope, arc to 2 additional targets. in Cybermancy has the description of:  Target incapacitated (stun or KO).</v>
      </c>
      <c r="Z28" s="4" t="s">
        <v>1523</v>
      </c>
    </row>
    <row r="29" spans="1:26" ht="29" x14ac:dyDescent="0.35">
      <c r="A29" t="s">
        <v>1302</v>
      </c>
      <c r="B29" t="s">
        <v>16</v>
      </c>
      <c r="C29" t="s">
        <v>1642</v>
      </c>
      <c r="D29" t="str">
        <f t="shared" si="0"/>
        <v>Cybermancy image generator thread: generate an image for Combat Vibro-Blade.png in the size recommended by Foundry VTT for icons.  Focus on the descriptive aspects implied by modules/cybermancy/assets/icons/weapons/combat-vibro-blade.webp in the image generation. Combat Vibro-Blade in Cybermancy has the description of: Balanced for extended melee, this knife hums with a subsonic pulse designed for battlefield chaos.</v>
      </c>
      <c r="E29" s="8" t="s">
        <v>1583</v>
      </c>
      <c r="F29">
        <v>3</v>
      </c>
      <c r="G29" t="b">
        <v>0</v>
      </c>
      <c r="H29" t="s">
        <v>27</v>
      </c>
      <c r="I29" t="s">
        <v>20</v>
      </c>
      <c r="M29" t="s">
        <v>21</v>
      </c>
      <c r="N29">
        <v>1</v>
      </c>
      <c r="O29" t="s">
        <v>1358</v>
      </c>
      <c r="P29" t="s">
        <v>1341</v>
      </c>
      <c r="Q29" t="s">
        <v>24</v>
      </c>
      <c r="R29" t="s">
        <v>25</v>
      </c>
      <c r="S29" t="s">
        <v>1439</v>
      </c>
      <c r="T29" t="s">
        <v>1681</v>
      </c>
      <c r="U29" t="str">
        <f t="shared" si="1"/>
        <v>Cybermancy image generator thread: generate an image for hitPoints.png in the size recommended by Foundry VTT for icons.  Focus on the descriptive aspects implied by modules/cybermancy/assets/icons/weapons-feature/high-frequency.webp in the image generation. hitPoints in Cybermancy has the description of:  +2 to all attack rolls this scene after a hit.</v>
      </c>
      <c r="V29" s="4" t="s">
        <v>1440</v>
      </c>
      <c r="W29" t="s">
        <v>1524</v>
      </c>
      <c r="X29" t="s">
        <v>1725</v>
      </c>
      <c r="Y29" t="str">
        <f t="shared" si="2"/>
        <v>Cybermancy image generator thread: generate an image for  +2 to all attack rolls this scene after a hit..png in the size recommended by Foundry VTT for icons.  Focus on the descriptive aspects implied by modules/cybermancy/assets/icons/features/fatal-wound.webp in the image generation.  +2 to all attack rolls this scene after a hit. in Cybermancy has the description of:  Additional 1d12 bleed damage next turn.</v>
      </c>
      <c r="Z29" s="4" t="s">
        <v>1525</v>
      </c>
    </row>
    <row r="30" spans="1:26" ht="29" x14ac:dyDescent="0.35">
      <c r="A30" t="s">
        <v>1303</v>
      </c>
      <c r="B30" t="s">
        <v>16</v>
      </c>
      <c r="C30" t="s">
        <v>1643</v>
      </c>
      <c r="D30" t="str">
        <f t="shared" si="0"/>
        <v>Cybermancy image generator thread: generate an image for Smartpistol Elite.png in the size recommended by Foundry VTT for icons.  Focus on the descriptive aspects implied by modules/cybermancy/assets/icons/weapons/smartpistol-elite.webp in the image generation. Smartpistol Elite in Cybermancy has the description of: High-end model linked directly to neural networks for predictive targeting.</v>
      </c>
      <c r="E30" s="8" t="s">
        <v>1584</v>
      </c>
      <c r="F30">
        <v>3</v>
      </c>
      <c r="G30" t="b">
        <v>0</v>
      </c>
      <c r="H30" t="s">
        <v>27</v>
      </c>
      <c r="I30" t="s">
        <v>20</v>
      </c>
      <c r="M30" t="s">
        <v>1352</v>
      </c>
      <c r="N30">
        <v>1</v>
      </c>
      <c r="O30" t="s">
        <v>1355</v>
      </c>
      <c r="P30" t="s">
        <v>1336</v>
      </c>
      <c r="Q30" t="s">
        <v>24</v>
      </c>
      <c r="R30" t="s">
        <v>25</v>
      </c>
      <c r="S30" t="s">
        <v>1441</v>
      </c>
      <c r="T30" t="s">
        <v>1682</v>
      </c>
      <c r="U30" t="str">
        <f t="shared" si="1"/>
        <v>Cybermancy image generator thread: generate an image for hitPoints.png in the size recommended by Foundry VTT for icons.  Focus on the descriptive aspects implied by modules/cybermancy/assets/icons/weapons-feature/autotarget.webp in the image generation. hitPoints in Cybermancy has the description of:  Always ignore cover.</v>
      </c>
      <c r="V30" s="4" t="s">
        <v>1442</v>
      </c>
      <c r="W30" t="s">
        <v>1526</v>
      </c>
      <c r="X30" t="s">
        <v>1726</v>
      </c>
      <c r="Y30" t="str">
        <f t="shared" si="2"/>
        <v>Cybermancy image generator thread: generate an image for  Always ignore cover..png in the size recommended by Foundry VTT for icons.  Focus on the descriptive aspects implied by modules/cybermancy/assets/icons/features/one-shot-kill.webp in the image generation.  Always ignore cover. in Cybermancy has the description of:  Severe damage ignoring all armor.</v>
      </c>
      <c r="Z30" s="4" t="s">
        <v>1527</v>
      </c>
    </row>
    <row r="31" spans="1:26" ht="29" x14ac:dyDescent="0.35">
      <c r="A31" t="s">
        <v>1304</v>
      </c>
      <c r="B31" t="s">
        <v>16</v>
      </c>
      <c r="C31" t="s">
        <v>1644</v>
      </c>
      <c r="D31" t="str">
        <f t="shared" si="0"/>
        <v>Cybermancy image generator thread: generate an image for Advanced SMG.png in the size recommended by Foundry VTT for icons.  Focus on the descriptive aspects implied by modules/cybermancy/assets/icons/weapons/advanced-smg.webp in the image generation. Advanced SMG in Cybermancy has the description of: Modular close-combat firearm with smart recoil dampers and ammo tracking.</v>
      </c>
      <c r="E31" s="8" t="s">
        <v>1585</v>
      </c>
      <c r="F31">
        <v>3</v>
      </c>
      <c r="G31" t="b">
        <v>0</v>
      </c>
      <c r="H31" t="s">
        <v>18</v>
      </c>
      <c r="I31" t="s">
        <v>20</v>
      </c>
      <c r="M31" t="s">
        <v>1351</v>
      </c>
      <c r="N31">
        <v>1</v>
      </c>
      <c r="O31" t="s">
        <v>1358</v>
      </c>
      <c r="P31" t="s">
        <v>1342</v>
      </c>
      <c r="Q31" t="s">
        <v>24</v>
      </c>
      <c r="R31" t="s">
        <v>25</v>
      </c>
      <c r="S31" t="s">
        <v>1443</v>
      </c>
      <c r="T31" t="s">
        <v>1683</v>
      </c>
      <c r="U31" t="str">
        <f t="shared" si="1"/>
        <v>Cybermancy image generator thread: generate an image for hitPoints.png in the size recommended by Foundry VTT for icons.  Focus on the descriptive aspects implied by modules/cybermancy/assets/icons/weapons-feature/bulletstorm.webp in the image generation. hitPoints in Cybermancy has the description of:  Once per rest, attack 3 targets in Close.</v>
      </c>
      <c r="V31" s="4" t="s">
        <v>1444</v>
      </c>
      <c r="W31" t="s">
        <v>1528</v>
      </c>
      <c r="X31" t="s">
        <v>1727</v>
      </c>
      <c r="Y31" t="str">
        <f t="shared" si="2"/>
        <v>Cybermancy image generator thread: generate an image for  Once per rest, attack 3 targets in Close..png in the size recommended by Foundry VTT for icons.  Focus on the descriptive aspects implied by modules/cybermancy/assets/icons/features/suppression-killzone.webp in the image generation.  Once per rest, attack 3 targets in Close. in Cybermancy has the description of:  Enemies must Retreat or mark Stress.</v>
      </c>
      <c r="Z31" s="4" t="s">
        <v>1529</v>
      </c>
    </row>
    <row r="32" spans="1:26" ht="43.5" x14ac:dyDescent="0.35">
      <c r="A32" t="s">
        <v>1305</v>
      </c>
      <c r="B32" t="s">
        <v>16</v>
      </c>
      <c r="C32" t="s">
        <v>1645</v>
      </c>
      <c r="D32" t="str">
        <f t="shared" si="0"/>
        <v>Cybermancy image generator thread: generate an image for Advanced Assault Rifle.png in the size recommended by Foundry VTT for icons.  Focus on the descriptive aspects implied by modules/cybermancy/assets/icons/weapons/advanced-assault-rifle.webp in the image generation. Advanced Assault Rifle in Cybermancy has the description of: Elite-issue firearm capable of sustained fire with minimal barrel drift.</v>
      </c>
      <c r="E32" s="8" t="s">
        <v>1586</v>
      </c>
      <c r="F32">
        <v>3</v>
      </c>
      <c r="G32" t="b">
        <v>0</v>
      </c>
      <c r="H32" t="s">
        <v>18</v>
      </c>
      <c r="I32" t="s">
        <v>20</v>
      </c>
      <c r="M32" t="s">
        <v>1352</v>
      </c>
      <c r="N32">
        <v>1</v>
      </c>
      <c r="O32" t="s">
        <v>22</v>
      </c>
      <c r="P32" t="s">
        <v>1343</v>
      </c>
      <c r="Q32" t="s">
        <v>24</v>
      </c>
      <c r="R32" t="s">
        <v>25</v>
      </c>
      <c r="S32" t="s">
        <v>1445</v>
      </c>
      <c r="T32" t="s">
        <v>1684</v>
      </c>
      <c r="U32" t="str">
        <f t="shared" si="1"/>
        <v>Cybermancy image generator thread: generate an image for hitPoints.png in the size recommended by Foundry VTT for icons.  Focus on the descriptive aspects implied by modules/cybermancy/assets/icons/weapons-feature/full-auto.webp in the image generation. hitPoints in Cybermancy has the description of:  Spend Hope, double damage dice.</v>
      </c>
      <c r="V32" s="4" t="s">
        <v>1446</v>
      </c>
      <c r="W32" t="s">
        <v>1530</v>
      </c>
      <c r="X32" t="s">
        <v>1728</v>
      </c>
      <c r="Y32" t="str">
        <f t="shared" si="2"/>
        <v>Cybermancy image generator thread: generate an image for  Spend Hope, double damage dice..png in the size recommended by Foundry VTT for icons.  Focus on the descriptive aspects implied by modules/cybermancy/assets/icons/features/critical-barrage.webp in the image generation.  Spend Hope, double damage dice. in Cybermancy has the description of:  Mow down cover, forcing enemies into open.</v>
      </c>
      <c r="Z32" s="4" t="s">
        <v>1531</v>
      </c>
    </row>
    <row r="33" spans="1:26" ht="29" x14ac:dyDescent="0.35">
      <c r="A33" t="s">
        <v>1306</v>
      </c>
      <c r="B33" t="s">
        <v>16</v>
      </c>
      <c r="C33" t="s">
        <v>1646</v>
      </c>
      <c r="D33" t="str">
        <f t="shared" si="0"/>
        <v>Cybermancy image generator thread: generate an image for Riot Shotgun.png in the size recommended by Foundry VTT for icons.  Focus on the descriptive aspects implied by modules/cybermancy/assets/icons/weapons/riot-shotgun.webp in the image generation. Riot Shotgun in Cybermancy has the description of: Crowd-control platform launching high-impact kinetic or shock shells to suppress hostiles.</v>
      </c>
      <c r="E33" s="8" t="s">
        <v>1587</v>
      </c>
      <c r="F33">
        <v>3</v>
      </c>
      <c r="G33" t="b">
        <v>0</v>
      </c>
      <c r="H33" t="s">
        <v>18</v>
      </c>
      <c r="I33" t="s">
        <v>20</v>
      </c>
      <c r="M33" t="s">
        <v>1351</v>
      </c>
      <c r="N33">
        <v>1</v>
      </c>
      <c r="O33" t="s">
        <v>1356</v>
      </c>
      <c r="P33" t="s">
        <v>1344</v>
      </c>
      <c r="Q33" t="s">
        <v>24</v>
      </c>
      <c r="R33" t="s">
        <v>25</v>
      </c>
      <c r="S33" t="s">
        <v>1447</v>
      </c>
      <c r="T33" t="s">
        <v>1685</v>
      </c>
      <c r="U33" t="str">
        <f t="shared" si="1"/>
        <v>Cybermancy image generator thread: generate an image for hitPoints.png in the size recommended by Foundry VTT for icons.  Focus on the descriptive aspects implied by modules/cybermancy/assets/icons/weapons-feature/knockback.webp in the image generation. hitPoints in Cybermancy has the description of:  Push targets back one range band.</v>
      </c>
      <c r="V33" s="4" t="s">
        <v>1448</v>
      </c>
      <c r="W33" t="s">
        <v>1532</v>
      </c>
      <c r="X33" t="s">
        <v>1729</v>
      </c>
      <c r="Y33" t="str">
        <f t="shared" si="2"/>
        <v>Cybermancy image generator thread: generate an image for  Push targets back one range band..png in the size recommended by Foundry VTT for icons.  Focus on the descriptive aspects implied by modules/cybermancy/assets/icons/features/concussive-blast.webp in the image generation.  Push targets back one range band. in Cybermancy has the description of:  Stun all in Close cone.</v>
      </c>
      <c r="Z33" s="4" t="s">
        <v>1533</v>
      </c>
    </row>
    <row r="34" spans="1:26" ht="29" x14ac:dyDescent="0.35">
      <c r="A34" t="s">
        <v>1307</v>
      </c>
      <c r="B34" t="s">
        <v>16</v>
      </c>
      <c r="C34" t="s">
        <v>1647</v>
      </c>
      <c r="D34" t="str">
        <f t="shared" si="0"/>
        <v>Cybermancy image generator thread: generate an image for Anti-Materiel Sniper.png in the size recommended by Foundry VTT for icons.  Focus on the descriptive aspects implied by modules/cybermancy/assets/icons/weapons/anti-materiel-sniper.webp in the image generation. Anti-Materiel Sniper in Cybermancy has the description of: Long-range rail weapon capable of puncturing vehicles, mechs, and even bunkers.</v>
      </c>
      <c r="E34" s="8" t="s">
        <v>1588</v>
      </c>
      <c r="F34">
        <v>3</v>
      </c>
      <c r="G34" t="b">
        <v>0</v>
      </c>
      <c r="H34" t="s">
        <v>18</v>
      </c>
      <c r="I34" t="s">
        <v>20</v>
      </c>
      <c r="M34" t="s">
        <v>1354</v>
      </c>
      <c r="N34">
        <v>1</v>
      </c>
      <c r="O34" t="s">
        <v>1359</v>
      </c>
      <c r="P34" t="s">
        <v>1343</v>
      </c>
      <c r="Q34" t="s">
        <v>24</v>
      </c>
      <c r="R34" t="s">
        <v>25</v>
      </c>
      <c r="S34" t="s">
        <v>1449</v>
      </c>
      <c r="T34" t="s">
        <v>1686</v>
      </c>
      <c r="U34" t="str">
        <f t="shared" si="1"/>
        <v>Cybermancy image generator thread: generate an image for hitPoints.png in the size recommended by Foundry VTT for icons.  Focus on the descriptive aspects implied by modules/cybermancy/assets/icons/weapons-feature/penetration.webp in the image generation. hitPoints in Cybermancy has the description of:  Shoot through walls/vehicles.</v>
      </c>
      <c r="V34" s="4" t="s">
        <v>1450</v>
      </c>
      <c r="W34" t="s">
        <v>1603</v>
      </c>
      <c r="X34" t="s">
        <v>1730</v>
      </c>
      <c r="Y34" t="str">
        <f t="shared" si="2"/>
        <v>Cybermancy image generator thread: generate an image for  Shoot through walls/vehicles..png in the size recommended by Foundry VTT for icons.  Focus on the descriptive aspects implied by modules/cybermancy/assets/icons/features/executioners-shot.webp in the image generation.  Shoot through walls/vehicles. in Cybermancy has the description of:  Instantly remove non-boss foe.</v>
      </c>
      <c r="Z34" s="4" t="s">
        <v>1534</v>
      </c>
    </row>
    <row r="35" spans="1:26" ht="29" x14ac:dyDescent="0.35">
      <c r="A35" t="s">
        <v>1308</v>
      </c>
      <c r="B35" t="s">
        <v>16</v>
      </c>
      <c r="C35" t="s">
        <v>1648</v>
      </c>
      <c r="D35" t="str">
        <f t="shared" si="0"/>
        <v>Cybermancy image generator thread: generate an image for Cluster Grenade.png in the size recommended by Foundry VTT for icons.  Focus on the descriptive aspects implied by modules/cybermancy/assets/icons/weapons/cluster-grenade.webp in the image generation. Cluster Grenade in Cybermancy has the description of: A multi-charge fragmentation device that detonates across several zones at once.</v>
      </c>
      <c r="E35" s="8" t="s">
        <v>1589</v>
      </c>
      <c r="F35">
        <v>3</v>
      </c>
      <c r="G35" t="b">
        <v>0</v>
      </c>
      <c r="H35" t="s">
        <v>27</v>
      </c>
      <c r="I35" t="s">
        <v>20</v>
      </c>
      <c r="M35" t="s">
        <v>1352</v>
      </c>
      <c r="N35">
        <v>1</v>
      </c>
      <c r="O35" t="s">
        <v>22</v>
      </c>
      <c r="P35" t="s">
        <v>1338</v>
      </c>
      <c r="Q35" t="s">
        <v>24</v>
      </c>
      <c r="R35" t="s">
        <v>25</v>
      </c>
      <c r="S35" t="s">
        <v>1451</v>
      </c>
      <c r="T35" t="s">
        <v>1687</v>
      </c>
      <c r="U35" t="str">
        <f t="shared" si="1"/>
        <v>Cybermancy image generator thread: generate an image for hitPoints.png in the size recommended by Foundry VTT for icons.  Focus on the descriptive aspects implied by modules/cybermancy/assets/icons/weapons-feature/fragment-split.webp in the image generation. hitPoints in Cybermancy has the description of:  Hit two separate zones.</v>
      </c>
      <c r="V35" s="4" t="s">
        <v>1452</v>
      </c>
      <c r="W35" t="s">
        <v>1535</v>
      </c>
      <c r="X35" t="s">
        <v>1731</v>
      </c>
      <c r="Y35" t="str">
        <f t="shared" si="2"/>
        <v>Cybermancy image generator thread: generate an image for  Hit two separate zones..png in the size recommended by Foundry VTT for icons.  Focus on the descriptive aspects implied by modules/cybermancy/assets/icons/features/kill-zone.webp in the image generation.  Hit two separate zones. in Cybermancy has the description of:  Full damage in all adjacent zones.</v>
      </c>
      <c r="Z35" s="4" t="s">
        <v>1536</v>
      </c>
    </row>
    <row r="36" spans="1:26" ht="29" x14ac:dyDescent="0.35">
      <c r="A36" t="s">
        <v>1309</v>
      </c>
      <c r="B36" t="s">
        <v>16</v>
      </c>
      <c r="C36" t="s">
        <v>1649</v>
      </c>
      <c r="D36" t="str">
        <f t="shared" si="0"/>
        <v>Cybermancy image generator thread: generate an image for EMP Cascade.png in the size recommended by Foundry VTT for icons.  Focus on the descriptive aspects implied by modules/cybermancy/assets/icons/weapons/emp-cascade.webp in the image generation. EMP Cascade in Cybermancy has the description of: A cascading EMP charge that disables all systems across multiple networks simultaneously.</v>
      </c>
      <c r="E36" s="8" t="s">
        <v>1590</v>
      </c>
      <c r="F36">
        <v>3</v>
      </c>
      <c r="G36" t="b">
        <v>0</v>
      </c>
      <c r="H36" t="s">
        <v>27</v>
      </c>
      <c r="I36" t="s">
        <v>20</v>
      </c>
      <c r="M36" t="s">
        <v>1352</v>
      </c>
      <c r="N36">
        <v>1</v>
      </c>
      <c r="O36" t="s">
        <v>1359</v>
      </c>
      <c r="P36" t="s">
        <v>1330</v>
      </c>
      <c r="Q36" t="s">
        <v>24</v>
      </c>
      <c r="R36" t="s">
        <v>25</v>
      </c>
      <c r="S36" t="s">
        <v>1453</v>
      </c>
      <c r="T36" t="s">
        <v>1688</v>
      </c>
      <c r="U36" t="str">
        <f t="shared" si="1"/>
        <v>Cybermancy image generator thread: generate an image for hitPoints.png in the size recommended by Foundry VTT for icons.  Focus on the descriptive aspects implied by modules/cybermancy/assets/icons/weapons-feature/system-overload.webp in the image generation. hitPoints in Cybermancy has the description of:  Devices take 2 rounds to recover.</v>
      </c>
      <c r="V36" s="4" t="s">
        <v>1454</v>
      </c>
      <c r="W36" t="s">
        <v>1537</v>
      </c>
      <c r="X36" t="s">
        <v>1732</v>
      </c>
      <c r="Y36" t="str">
        <f t="shared" si="2"/>
        <v>Cybermancy image generator thread: generate an image for  Devices take 2 rounds to recover..png in the size recommended by Foundry VTT for icons.  Focus on the descriptive aspects implied by modules/cybermancy/assets/icons/features/matrix-burnout.webp in the image generation.  Devices take 2 rounds to recover. in Cybermancy has the description of:  Deckers hit take HP damage directly.</v>
      </c>
      <c r="Z36" s="4" t="s">
        <v>1538</v>
      </c>
    </row>
    <row r="37" spans="1:26" ht="43.5" x14ac:dyDescent="0.35">
      <c r="A37" t="s">
        <v>1310</v>
      </c>
      <c r="B37" t="s">
        <v>16</v>
      </c>
      <c r="C37" t="s">
        <v>1650</v>
      </c>
      <c r="D37" t="str">
        <f t="shared" si="0"/>
        <v>Cybermancy image generator thread: generate an image for Legendary Monofilament Whip.png in the size recommended by Foundry VTT for icons.  Focus on the descriptive aspects implied by modules/cybermancy/assets/icons/weapons/legendary-monofilament-whip.webp in the image generation. Legendary Monofilament Whip in Cybermancy has the description of: The apex of weaponized filaments, capable of cutting through armor, steel, or reality itself.</v>
      </c>
      <c r="E37" s="8" t="s">
        <v>1591</v>
      </c>
      <c r="F37">
        <v>4</v>
      </c>
      <c r="G37" t="b">
        <v>0</v>
      </c>
      <c r="H37" t="s">
        <v>27</v>
      </c>
      <c r="I37" t="s">
        <v>20</v>
      </c>
      <c r="M37" t="s">
        <v>1353</v>
      </c>
      <c r="N37">
        <v>1</v>
      </c>
      <c r="O37" t="s">
        <v>1355</v>
      </c>
      <c r="P37" t="s">
        <v>1345</v>
      </c>
      <c r="Q37" t="s">
        <v>24</v>
      </c>
      <c r="R37" t="s">
        <v>25</v>
      </c>
      <c r="S37" t="s">
        <v>1455</v>
      </c>
      <c r="T37" t="s">
        <v>1689</v>
      </c>
      <c r="U37" t="str">
        <f t="shared" si="1"/>
        <v>Cybermancy image generator thread: generate an image for hitPoints.png in the size recommended by Foundry VTT for icons.  Focus on the descriptive aspects implied by modules/cybermancy/assets/icons/weapons-feature/reality-cut.webp in the image generation. hitPoints in Cybermancy has the description of:  Can slice vehicles, turrets, drones.</v>
      </c>
      <c r="V37" s="4" t="s">
        <v>1456</v>
      </c>
      <c r="W37" t="s">
        <v>1539</v>
      </c>
      <c r="X37" t="s">
        <v>1733</v>
      </c>
      <c r="Y37" t="str">
        <f t="shared" si="2"/>
        <v>Cybermancy image generator thread: generate an image for  Can slice vehicles, turrets, drones..png in the size recommended by Foundry VTT for icons.  Focus on the descriptive aspects implied by modules/cybermancy/assets/icons/features/sever-reality.webp in the image generation.  Can slice vehicles, turrets, drones. in Cybermancy has the description of:  Slice environment  create a permanent gap or hazard.</v>
      </c>
      <c r="Z37" s="4" t="s">
        <v>1609</v>
      </c>
    </row>
    <row r="38" spans="1:26" ht="43.5" x14ac:dyDescent="0.35">
      <c r="A38" t="s">
        <v>1311</v>
      </c>
      <c r="B38" t="s">
        <v>16</v>
      </c>
      <c r="C38" t="s">
        <v>1651</v>
      </c>
      <c r="D38" t="str">
        <f t="shared" si="0"/>
        <v>Cybermancy image generator thread: generate an image for Diamond Cyber Spurs.png in the size recommended by Foundry VTT for icons.  Focus on the descriptive aspects implied by modules/cybermancy/assets/icons/weapons/diamond-cyber-spurs.webp in the image generation. Diamond Cyber Spurs in Cybermancy has the description of: Mirror-finish diamond-tipped spurs designed for surgical precision and absolute silence.</v>
      </c>
      <c r="E38" s="8" t="s">
        <v>1592</v>
      </c>
      <c r="F38">
        <v>4</v>
      </c>
      <c r="G38" t="b">
        <v>0</v>
      </c>
      <c r="H38" t="s">
        <v>27</v>
      </c>
      <c r="I38" t="s">
        <v>20</v>
      </c>
      <c r="M38" t="s">
        <v>21</v>
      </c>
      <c r="N38">
        <v>1</v>
      </c>
      <c r="O38" t="s">
        <v>1356</v>
      </c>
      <c r="P38" t="s">
        <v>1346</v>
      </c>
      <c r="Q38" t="s">
        <v>24</v>
      </c>
      <c r="R38" t="s">
        <v>25</v>
      </c>
      <c r="S38" t="s">
        <v>1457</v>
      </c>
      <c r="T38" t="s">
        <v>1690</v>
      </c>
      <c r="U38" t="str">
        <f t="shared" si="1"/>
        <v>Cybermancy image generator thread: generate an image for hitPoints.png in the size recommended by Foundry VTT for icons.  Focus on the descriptive aspects implied by modules/cybermancy/assets/icons/weapons-feature/ghost-kill.webp in the image generation. hitPoints in Cybermancy has the description of:  Cannot be tracked by sensors.</v>
      </c>
      <c r="V38" s="4" t="s">
        <v>1458</v>
      </c>
      <c r="W38" t="s">
        <v>1540</v>
      </c>
      <c r="X38" t="s">
        <v>1734</v>
      </c>
      <c r="Y38" t="str">
        <f t="shared" si="2"/>
        <v>Cybermancy image generator thread: generate an image for  Cannot be tracked by sensors..png in the size recommended by Foundry VTT for icons.  Focus on the descriptive aspects implied by modules/cybermancy/assets/icons/features/spinal-sever.webp in the image generation.  Cannot be tracked by sensors. in Cybermancy has the description of:  Target permanently disabled unless cybernetically healed.</v>
      </c>
      <c r="Z38" s="4" t="s">
        <v>1541</v>
      </c>
    </row>
    <row r="39" spans="1:26" ht="29" x14ac:dyDescent="0.35">
      <c r="A39" t="s">
        <v>1312</v>
      </c>
      <c r="B39" t="s">
        <v>16</v>
      </c>
      <c r="C39" t="s">
        <v>1652</v>
      </c>
      <c r="D39" t="str">
        <f t="shared" si="0"/>
        <v>Cybermancy image generator thread: generate an image for Thunder Baton.png in the size recommended by Foundry VTT for icons.  Focus on the descriptive aspects implied by modules/cybermancy/assets/icons/weapons/thunder-baton.webp in the image generation. Thunder Baton in Cybermancy has the description of: Electrified shock weapon tuned for area suppression, discharging arcs of blinding light and sound.</v>
      </c>
      <c r="E39" s="8" t="s">
        <v>1593</v>
      </c>
      <c r="F39">
        <v>4</v>
      </c>
      <c r="G39" t="b">
        <v>0</v>
      </c>
      <c r="H39" t="s">
        <v>27</v>
      </c>
      <c r="I39" t="s">
        <v>20</v>
      </c>
      <c r="M39" t="s">
        <v>1351</v>
      </c>
      <c r="N39">
        <v>1</v>
      </c>
      <c r="O39" t="s">
        <v>1357</v>
      </c>
      <c r="P39" t="s">
        <v>1346</v>
      </c>
      <c r="Q39" t="s">
        <v>24</v>
      </c>
      <c r="R39" t="s">
        <v>25</v>
      </c>
      <c r="S39" t="s">
        <v>1459</v>
      </c>
      <c r="T39" t="s">
        <v>1691</v>
      </c>
      <c r="U39" t="str">
        <f t="shared" si="1"/>
        <v>Cybermancy image generator thread: generate an image for hitPoints.png in the size recommended by Foundry VTT for icons.  Focus on the descriptive aspects implied by modules/cybermancy/assets/icons/weapons-feature/overdrive.webp in the image generation. hitPoints in Cybermancy has the description of:  Once per rest, stun all enemies in Close range.</v>
      </c>
      <c r="V39" s="4" t="s">
        <v>1460</v>
      </c>
      <c r="W39" t="s">
        <v>1542</v>
      </c>
      <c r="X39" t="s">
        <v>1735</v>
      </c>
      <c r="Y39" t="str">
        <f t="shared" si="2"/>
        <v>Cybermancy image generator thread: generate an image for  Once per rest, stun all enemies in Close range..png in the size recommended by Foundry VTT for icons.  Focus on the descriptive aspects implied by modules/cybermancy/assets/icons/features/emp-surge.webp in the image generation.  Once per rest, stun all enemies in Close range. in Cybermancy has the description of:  Wipe out all small electronics in scene.</v>
      </c>
      <c r="Z39" s="4" t="s">
        <v>1543</v>
      </c>
    </row>
    <row r="40" spans="1:26" ht="29" x14ac:dyDescent="0.35">
      <c r="A40" t="s">
        <v>1313</v>
      </c>
      <c r="B40" t="s">
        <v>16</v>
      </c>
      <c r="C40" t="s">
        <v>1653</v>
      </c>
      <c r="D40" t="str">
        <f t="shared" si="0"/>
        <v>Cybermancy image generator thread: generate an image for Nano Vibro-Blade.png in the size recommended by Foundry VTT for icons.  Focus on the descriptive aspects implied by modules/cybermancy/assets/icons/weapons/nano-vibro-blade.webp in the image generation. Nano Vibro-Blade in Cybermancy has the description of: A nano-edged weapon that self-sharpens at the molecular level, slicing even through armor plating.</v>
      </c>
      <c r="E40" s="8" t="s">
        <v>1594</v>
      </c>
      <c r="F40">
        <v>4</v>
      </c>
      <c r="G40" t="b">
        <v>0</v>
      </c>
      <c r="H40" t="s">
        <v>27</v>
      </c>
      <c r="I40" t="s">
        <v>20</v>
      </c>
      <c r="M40" t="s">
        <v>21</v>
      </c>
      <c r="N40">
        <v>1</v>
      </c>
      <c r="O40" t="s">
        <v>1358</v>
      </c>
      <c r="P40" t="s">
        <v>1346</v>
      </c>
      <c r="Q40" t="s">
        <v>24</v>
      </c>
      <c r="R40" t="s">
        <v>25</v>
      </c>
      <c r="S40" t="s">
        <v>1461</v>
      </c>
      <c r="T40" t="s">
        <v>1692</v>
      </c>
      <c r="U40" t="str">
        <f t="shared" si="1"/>
        <v>Cybermancy image generator thread: generate an image for hitPoints.png in the size recommended by Foundry VTT for icons.  Focus on the descriptive aspects implied by modules/cybermancy/assets/icons/weapons-feature/self-sharpening.webp in the image generation. hitPoints in Cybermancy has the description of:  Ignore all armor values.</v>
      </c>
      <c r="V40" s="4" t="s">
        <v>1462</v>
      </c>
      <c r="W40" t="s">
        <v>1544</v>
      </c>
      <c r="X40" t="s">
        <v>1736</v>
      </c>
      <c r="Y40" t="str">
        <f t="shared" si="2"/>
        <v>Cybermancy image generator thread: generate an image for  Ignore all armor values..png in the size recommended by Foundry VTT for icons.  Focus on the descriptive aspects implied by modules/cybermancy/assets/icons/features/critical-dissection.webp in the image generation.  Ignore all armor values. in Cybermancy has the description of:  Narratively kill or disable any single non-boss foe.</v>
      </c>
      <c r="Z40" s="4" t="s">
        <v>1545</v>
      </c>
    </row>
    <row r="41" spans="1:26" ht="43.5" x14ac:dyDescent="0.35">
      <c r="A41" t="s">
        <v>1314</v>
      </c>
      <c r="B41" t="s">
        <v>16</v>
      </c>
      <c r="C41" t="s">
        <v>1654</v>
      </c>
      <c r="D41" t="str">
        <f t="shared" si="0"/>
        <v>Cybermancy image generator thread: generate an image for Smartpistol Omega.png in the size recommended by Foundry VTT for icons.  Focus on the descriptive aspects implied by modules/cybermancy/assets/icons/weapons/smartpistol-omega.webp in the image generation. Smartpistol Omega in Cybermancy has the description of: An AI-driven sidearm that learns its wielder’s habits and compensates perfectly in combat.</v>
      </c>
      <c r="E41" s="8" t="s">
        <v>1595</v>
      </c>
      <c r="F41">
        <v>4</v>
      </c>
      <c r="G41" t="b">
        <v>0</v>
      </c>
      <c r="H41" t="s">
        <v>27</v>
      </c>
      <c r="I41" t="s">
        <v>20</v>
      </c>
      <c r="M41" t="s">
        <v>1352</v>
      </c>
      <c r="N41">
        <v>1</v>
      </c>
      <c r="O41" t="s">
        <v>1355</v>
      </c>
      <c r="P41" t="s">
        <v>1347</v>
      </c>
      <c r="Q41" t="s">
        <v>24</v>
      </c>
      <c r="R41" t="s">
        <v>25</v>
      </c>
      <c r="S41" t="s">
        <v>1463</v>
      </c>
      <c r="T41" t="s">
        <v>1693</v>
      </c>
      <c r="U41" t="str">
        <f t="shared" si="1"/>
        <v>Cybermancy image generator thread: generate an image for hitPoints.png in the size recommended by Foundry VTT for icons.  Focus on the descriptive aspects implied by modules/cybermancy/assets/icons/weapons-feature/ai-assist.webp in the image generation. hitPoints in Cybermancy has the description of:  Advantage on all ranged rolls.</v>
      </c>
      <c r="V41" s="4" t="s">
        <v>1464</v>
      </c>
      <c r="W41" t="s">
        <v>1546</v>
      </c>
      <c r="X41" t="s">
        <v>1737</v>
      </c>
      <c r="Y41" t="str">
        <f t="shared" si="2"/>
        <v>Cybermancy image generator thread: generate an image for  Advantage on all ranged rolls..png in the size recommended by Foundry VTT for icons.  Focus on the descriptive aspects implied by modules/cybermancy/assets/icons/features/neural-kill.webp in the image generation.  Advantage on all ranged rolls. in Cybermancy has the description of:  Bullet bypasses physical armor; deals Stress + HP.</v>
      </c>
      <c r="Z41" s="4" t="s">
        <v>1547</v>
      </c>
    </row>
    <row r="42" spans="1:26" ht="29" x14ac:dyDescent="0.35">
      <c r="A42" t="s">
        <v>1315</v>
      </c>
      <c r="B42" t="s">
        <v>16</v>
      </c>
      <c r="C42" t="s">
        <v>1655</v>
      </c>
      <c r="D42" t="str">
        <f t="shared" si="0"/>
        <v>Cybermancy image generator thread: generate an image for Prototype SMG.png in the size recommended by Foundry VTT for icons.  Focus on the descriptive aspects implied by modules/cybermancy/assets/icons/weapons/prototype-smg.webp in the image generation. Prototype SMG in Cybermancy has the description of: Experimental gyro-balanced SMG capable of recoil-free sustained bursts.</v>
      </c>
      <c r="E42" s="8" t="s">
        <v>1596</v>
      </c>
      <c r="F42">
        <v>4</v>
      </c>
      <c r="G42" t="b">
        <v>0</v>
      </c>
      <c r="H42" t="s">
        <v>18</v>
      </c>
      <c r="I42" t="s">
        <v>20</v>
      </c>
      <c r="M42" t="s">
        <v>1351</v>
      </c>
      <c r="N42">
        <v>1</v>
      </c>
      <c r="O42" t="s">
        <v>1358</v>
      </c>
      <c r="P42" t="s">
        <v>1348</v>
      </c>
      <c r="Q42" t="s">
        <v>24</v>
      </c>
      <c r="R42" t="s">
        <v>25</v>
      </c>
      <c r="S42" t="s">
        <v>1465</v>
      </c>
      <c r="T42" t="s">
        <v>1694</v>
      </c>
      <c r="U42" t="str">
        <f t="shared" si="1"/>
        <v>Cybermancy image generator thread: generate an image for hitPoints.png in the size recommended by Foundry VTT for icons.  Focus on the descriptive aspects implied by modules/cybermancy/assets/icons/weapons-feature/gyrostabilized.webp in the image generation. hitPoints in Cybermancy has the description of:  Fire with no recoil penalty.</v>
      </c>
      <c r="V42" s="4" t="s">
        <v>1466</v>
      </c>
      <c r="W42" t="s">
        <v>1548</v>
      </c>
      <c r="X42" t="s">
        <v>1738</v>
      </c>
      <c r="Y42" t="str">
        <f t="shared" si="2"/>
        <v>Cybermancy image generator thread: generate an image for  Fire with no recoil penalty..png in the size recommended by Foundry VTT for icons.  Focus on the descriptive aspects implied by modules/cybermancy/assets/icons/features/critical-spray.webp in the image generation.  Fire with no recoil penalty. in Cybermancy has the description of:  Hit all enemies in Close range automatically.</v>
      </c>
      <c r="Z42" s="4" t="s">
        <v>1549</v>
      </c>
    </row>
    <row r="43" spans="1:26" ht="58" x14ac:dyDescent="0.35">
      <c r="A43" t="s">
        <v>1316</v>
      </c>
      <c r="B43" t="s">
        <v>16</v>
      </c>
      <c r="C43" t="s">
        <v>1656</v>
      </c>
      <c r="D43" t="str">
        <f t="shared" si="0"/>
        <v>Cybermancy image generator thread: generate an image for Gauss Rifle.png in the size recommended by Foundry VTT for icons.  Focus on the descriptive aspects implied by modules/cybermancy/assets/icons/weapons/gauss-rifle.webp in the image generation. Gauss Rifle in Cybermancy has the description of: Magnetic accelerator weapon firing hyper-velocity projectiles that punch through anything solid.</v>
      </c>
      <c r="E43" s="8" t="s">
        <v>1597</v>
      </c>
      <c r="F43">
        <v>4</v>
      </c>
      <c r="G43" t="b">
        <v>0</v>
      </c>
      <c r="H43" t="s">
        <v>18</v>
      </c>
      <c r="I43" t="s">
        <v>20</v>
      </c>
      <c r="M43" t="s">
        <v>1352</v>
      </c>
      <c r="N43">
        <v>1</v>
      </c>
      <c r="O43" t="s">
        <v>22</v>
      </c>
      <c r="P43" t="s">
        <v>1349</v>
      </c>
      <c r="Q43" t="s">
        <v>24</v>
      </c>
      <c r="R43" t="s">
        <v>25</v>
      </c>
      <c r="S43" t="s">
        <v>1467</v>
      </c>
      <c r="T43" t="s">
        <v>1695</v>
      </c>
      <c r="U43" t="str">
        <f t="shared" si="1"/>
        <v>Cybermancy image generator thread: generate an image for hitPoints.png in the size recommended by Foundry VTT for icons.  Focus on the descriptive aspects implied by modules/cybermancy/assets/icons/weapons-feature/rail-shot.webp in the image generation. hitPoints in Cybermancy has the description of:  Spend Stress to deal double damage dice.</v>
      </c>
      <c r="V43" s="4" t="s">
        <v>1468</v>
      </c>
      <c r="W43" t="s">
        <v>1550</v>
      </c>
      <c r="X43" t="s">
        <v>1739</v>
      </c>
      <c r="Y43" t="str">
        <f t="shared" si="2"/>
        <v>Cybermancy image generator thread: generate an image for  Spend Stress to deal double damage dice..png in the size recommended by Foundry VTT for icons.  Focus on the descriptive aspects implied by modules/cybermancy/assets/icons/features/hyper-pierce.webp in the image generation.  Spend Stress to deal double damage dice. in Cybermancy has the description of:  Shot tears through multiple enemies/vehicles in a line.</v>
      </c>
      <c r="Z43" s="4" t="s">
        <v>1551</v>
      </c>
    </row>
    <row r="44" spans="1:26" ht="29" x14ac:dyDescent="0.35">
      <c r="A44" t="s">
        <v>1317</v>
      </c>
      <c r="B44" t="s">
        <v>16</v>
      </c>
      <c r="C44" t="s">
        <v>1657</v>
      </c>
      <c r="D44" t="str">
        <f t="shared" si="0"/>
        <v>Cybermancy image generator thread: generate an image for Plasma Shotgun.png in the size recommended by Foundry VTT for icons.  Focus on the descriptive aspects implied by modules/cybermancy/assets/icons/weapons/plasma-shotgun.webp in the image generation. Plasma Shotgun in Cybermancy has the description of: Fires superheated plasma shells that vaporize targets and ignite the surrounding area.</v>
      </c>
      <c r="E44" s="8" t="s">
        <v>1598</v>
      </c>
      <c r="F44">
        <v>4</v>
      </c>
      <c r="G44" t="b">
        <v>0</v>
      </c>
      <c r="H44" t="s">
        <v>18</v>
      </c>
      <c r="I44" t="s">
        <v>20</v>
      </c>
      <c r="M44" t="s">
        <v>1351</v>
      </c>
      <c r="N44">
        <v>1</v>
      </c>
      <c r="O44" t="s">
        <v>1356</v>
      </c>
      <c r="P44" t="s">
        <v>1349</v>
      </c>
      <c r="Q44" t="s">
        <v>24</v>
      </c>
      <c r="R44" t="s">
        <v>25</v>
      </c>
      <c r="S44" t="s">
        <v>1469</v>
      </c>
      <c r="T44" t="s">
        <v>1696</v>
      </c>
      <c r="U44" t="str">
        <f t="shared" si="1"/>
        <v>Cybermancy image generator thread: generate an image for hitPoints.png in the size recommended by Foundry VTT for icons.  Focus on the descriptive aspects implied by modules/cybermancy/assets/icons/weapons-feature/meltdown.webp in the image generation. hitPoints in Cybermancy has the description of:  Spend Hope to add 1d8 burn damage.</v>
      </c>
      <c r="V44" s="4" t="s">
        <v>1470</v>
      </c>
      <c r="W44" t="s">
        <v>1552</v>
      </c>
      <c r="X44" t="s">
        <v>1740</v>
      </c>
      <c r="Y44" t="str">
        <f t="shared" si="2"/>
        <v>Cybermancy image generator thread: generate an image for  Spend Hope to add 1d8 burn damage..png in the size recommended by Foundry VTT for icons.  Focus on the descriptive aspects implied by modules/cybermancy/assets/icons/features/critical-inferno.webp in the image generation.  Spend Hope to add 1d8 burn damage. in Cybermancy has the description of:  All targets in blast zone catch fire.</v>
      </c>
      <c r="Z44" s="4" t="s">
        <v>1553</v>
      </c>
    </row>
    <row r="45" spans="1:26" ht="43.5" x14ac:dyDescent="0.35">
      <c r="A45" t="s">
        <v>1318</v>
      </c>
      <c r="B45" t="s">
        <v>16</v>
      </c>
      <c r="C45" t="s">
        <v>1658</v>
      </c>
      <c r="D45" t="str">
        <f t="shared" si="0"/>
        <v>Cybermancy image generator thread: generate an image for Orbital Sniper Rifle.png in the size recommended by Foundry VTT for icons.  Focus on the descriptive aspects implied by modules/cybermancy/assets/icons/weapons/orbital-sniper-rifle.webp in the image generation. Orbital Sniper Rifle in Cybermancy has the description of: A satellite-linked rifle capable of marking and calling down orbital strikes.</v>
      </c>
      <c r="E45" s="8" t="s">
        <v>1599</v>
      </c>
      <c r="F45">
        <v>4</v>
      </c>
      <c r="G45" t="b">
        <v>0</v>
      </c>
      <c r="H45" t="s">
        <v>18</v>
      </c>
      <c r="I45" t="s">
        <v>20</v>
      </c>
      <c r="M45" t="s">
        <v>1354</v>
      </c>
      <c r="N45">
        <v>1</v>
      </c>
      <c r="O45" t="s">
        <v>1359</v>
      </c>
      <c r="P45" t="s">
        <v>1349</v>
      </c>
      <c r="Q45" t="s">
        <v>24</v>
      </c>
      <c r="R45" t="s">
        <v>25</v>
      </c>
      <c r="S45" t="s">
        <v>1471</v>
      </c>
      <c r="T45" t="s">
        <v>1697</v>
      </c>
      <c r="U45" t="str">
        <f t="shared" si="1"/>
        <v>Cybermancy image generator thread: generate an image for hitPoints.png in the size recommended by Foundry VTT for icons.  Focus on the descriptive aspects implied by modules/cybermancy/assets/icons/weapons-feature/satellite-link.webp in the image generation. hitPoints in Cybermancy has the description of:  Call in orbital fire once per rest.</v>
      </c>
      <c r="V45" s="4" t="s">
        <v>1472</v>
      </c>
      <c r="W45" t="s">
        <v>1607</v>
      </c>
      <c r="X45" t="s">
        <v>1741</v>
      </c>
      <c r="Y45" t="str">
        <f t="shared" si="2"/>
        <v>Cybermancy image generator thread: generate an image for  Call in orbital fire once per rest..png in the size recommended by Foundry VTT for icons.  Focus on the descriptive aspects implied by modules/cybermancy/assets/icons/features/heavens-lance.webp in the image generation.  Call in orbital fire once per rest. in Cybermancy has the description of:  Obliterate target zone, GM narrates consequences.</v>
      </c>
      <c r="Z45" s="4" t="s">
        <v>1608</v>
      </c>
    </row>
    <row r="46" spans="1:26" ht="29" x14ac:dyDescent="0.35">
      <c r="A46" t="s">
        <v>1319</v>
      </c>
      <c r="B46" t="s">
        <v>16</v>
      </c>
      <c r="C46" t="s">
        <v>1659</v>
      </c>
      <c r="D46" t="str">
        <f t="shared" si="0"/>
        <v>Cybermancy image generator thread: generate an image for Annihilation Grenade.png in the size recommended by Foundry VTT for icons.  Focus on the descriptive aspects implied by modules/cybermancy/assets/icons/weapons/annihilation-grenade.webp in the image generation. Annihilation Grenade in Cybermancy has the description of: Compact tactical nuke delivering utter destruction in a small, precise radius.</v>
      </c>
      <c r="E46" s="8" t="s">
        <v>1600</v>
      </c>
      <c r="F46">
        <v>4</v>
      </c>
      <c r="G46" t="b">
        <v>0</v>
      </c>
      <c r="H46" t="s">
        <v>27</v>
      </c>
      <c r="I46" t="s">
        <v>20</v>
      </c>
      <c r="M46" t="s">
        <v>1352</v>
      </c>
      <c r="N46">
        <v>1</v>
      </c>
      <c r="O46" t="s">
        <v>22</v>
      </c>
      <c r="P46" t="s">
        <v>1350</v>
      </c>
      <c r="Q46" t="s">
        <v>24</v>
      </c>
      <c r="R46" t="s">
        <v>25</v>
      </c>
      <c r="S46" t="s">
        <v>1473</v>
      </c>
      <c r="T46" t="s">
        <v>1698</v>
      </c>
      <c r="U46" t="str">
        <f t="shared" si="1"/>
        <v>Cybermancy image generator thread: generate an image for hitPoints.png in the size recommended by Foundry VTT for icons.  Focus on the descriptive aspects implied by modules/cybermancy/assets/icons/weapons-feature/final-boom.webp in the image generation. hitPoints in Cybermancy has the description of:  Single-use, but massive radius.</v>
      </c>
      <c r="V46" s="4" t="s">
        <v>1474</v>
      </c>
      <c r="W46" t="s">
        <v>1554</v>
      </c>
      <c r="X46" t="s">
        <v>1743</v>
      </c>
      <c r="Y46" t="str">
        <f t="shared" si="2"/>
        <v>Cybermancy image generator thread: generate an image for  Single-use, but massive radius..png in the size recommended by Foundry VTT for icons.  Focus on the descriptive aspects implied by modules/cybermancy/assets/icons/features/tactical-nuke-micro.webp in the image generation.  Single-use, but massive radius. in Cybermancy has the description of:  Entire area wiped  citywide consequences.</v>
      </c>
      <c r="Z46" s="4" t="s">
        <v>1610</v>
      </c>
    </row>
    <row r="47" spans="1:26" ht="29" x14ac:dyDescent="0.35">
      <c r="A47" t="s">
        <v>1320</v>
      </c>
      <c r="B47" t="s">
        <v>16</v>
      </c>
      <c r="C47" t="s">
        <v>1660</v>
      </c>
      <c r="D47" t="str">
        <f t="shared" si="0"/>
        <v>Cybermancy image generator thread: generate an image for EMP Singularity.png in the size recommended by Foundry VTT for icons.  Focus on the descriptive aspects implied by modules/cybermancy/assets/icons/weapons/emp-singularity.webp in the image generation. EMP Singularity in Cybermancy has the description of: A massive EMP charge that disables all systems across multiple networks simultaneously within Very Far range</v>
      </c>
      <c r="E47" s="8" t="s">
        <v>1601</v>
      </c>
      <c r="F47">
        <v>4</v>
      </c>
      <c r="G47" t="b">
        <v>0</v>
      </c>
      <c r="H47" t="s">
        <v>27</v>
      </c>
      <c r="I47" t="s">
        <v>20</v>
      </c>
      <c r="M47" t="s">
        <v>1352</v>
      </c>
      <c r="N47">
        <v>1</v>
      </c>
      <c r="O47" t="s">
        <v>1359</v>
      </c>
      <c r="P47" t="s">
        <v>1350</v>
      </c>
      <c r="Q47" t="s">
        <v>24</v>
      </c>
      <c r="R47" t="s">
        <v>25</v>
      </c>
      <c r="S47" t="s">
        <v>1475</v>
      </c>
      <c r="T47" t="s">
        <v>1699</v>
      </c>
      <c r="U47" t="str">
        <f t="shared" si="1"/>
        <v>Cybermancy image generator thread: generate an image for hitPoints.png in the size recommended by Foundry VTT for icons.  Focus on the descriptive aspects implied by modules/cybermancy/assets/icons/weapons-feature/blackout.webp in the image generation. hitPoints in Cybermancy has the description of:  Kill power grid in 1 km radius once per rest.</v>
      </c>
      <c r="V47" s="4" t="s">
        <v>1476</v>
      </c>
      <c r="W47" t="s">
        <v>1555</v>
      </c>
      <c r="X47" t="s">
        <v>1742</v>
      </c>
      <c r="Y47" t="str">
        <f t="shared" si="2"/>
        <v>Cybermancy image generator thread: generate an image for  Kill power grid in 1 km radius once per rest..png in the size recommended by Foundry VTT for icons.  Focus on the descriptive aspects implied by modules/cybermancy/assets/icons/features/system-collapse.webp in the image generation.  Kill power grid in 1 km radius once per rest. in Cybermancy has the description of:  Entire Matrix zone crashes beyond repair.</v>
      </c>
      <c r="Z47" s="4" t="s">
        <v>1556</v>
      </c>
    </row>
  </sheetData>
  <dataValidations count="1">
    <dataValidation type="whole" allowBlank="1" showInputMessage="1" showErrorMessage="1" sqref="F2:F1048576" xr:uid="{914DC4EC-A891-435E-AD2A-76436998A8C7}">
      <formula1>1</formula1>
      <formula2>4</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E3466477-CEDE-4560-9CEE-D928858E09B2}">
          <x14:formula1>
            <xm:f>'Controlled Lists'!$H$2:$H$3</xm:f>
          </x14:formula1>
          <xm:sqref>Q2:Q1048576</xm:sqref>
        </x14:dataValidation>
        <x14:dataValidation type="list" allowBlank="1" showInputMessage="1" showErrorMessage="1" xr:uid="{F4E89FD5-FE25-4CFB-A918-FD22073EDC6E}">
          <x14:formula1>
            <xm:f>'Controlled Lists'!$I$2:$I$6</xm:f>
          </x14:formula1>
          <xm:sqref>R2:R1048576</xm:sqref>
        </x14:dataValidation>
        <x14:dataValidation type="list" allowBlank="1" showInputMessage="1" showErrorMessage="1" xr:uid="{C03F2E2C-FEEA-4D76-AD53-54682C78D9BF}">
          <x14:formula1>
            <xm:f>'Controlled Lists'!$F$2:$F$6</xm:f>
          </x14:formula1>
          <xm:sqref>M2:M1048576</xm:sqref>
        </x14:dataValidation>
        <x14:dataValidation type="list" allowBlank="1" showInputMessage="1" showErrorMessage="1" xr:uid="{B078C6EA-DC82-4C08-8677-EAF96D0C98A3}">
          <x14:formula1>
            <xm:f>'Controlled Lists'!$K$2:$K$49</xm:f>
          </x14:formula1>
          <xm:sqref>L2:L1048576</xm:sqref>
        </x14:dataValidation>
        <x14:dataValidation type="list" allowBlank="1" showInputMessage="1" showErrorMessage="1" xr:uid="{4F369775-DDF2-47A3-800D-EF83EF2F8563}">
          <x14:formula1>
            <xm:f>'Actions and Effects'!$B:$B</xm:f>
          </x14:formula1>
          <xm:sqref>J2:K1048576</xm:sqref>
        </x14:dataValidation>
        <x14:dataValidation type="list" allowBlank="1" showInputMessage="1" showErrorMessage="1" xr:uid="{E686D192-2305-4189-A649-5A945B43EECE}">
          <x14:formula1>
            <xm:f>'Controlled Lists'!$B$2:$B$3</xm:f>
          </x14:formula1>
          <xm:sqref>G2:G1048576</xm:sqref>
        </x14:dataValidation>
        <x14:dataValidation type="list" allowBlank="1" showInputMessage="1" showErrorMessage="1" xr:uid="{02895020-FC90-4395-A540-A8C55B3381CB}">
          <x14:formula1>
            <xm:f>'Controlled Lists'!$C$2:$C$3</xm:f>
          </x14:formula1>
          <xm:sqref>H2:H1048576</xm:sqref>
        </x14:dataValidation>
        <x14:dataValidation type="list" allowBlank="1" showInputMessage="1" showErrorMessage="1" xr:uid="{2231F62D-7182-49A5-A170-8043111B0E34}">
          <x14:formula1>
            <xm:f>'Controlled Lists'!$A$2:$A$6</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2441A-4F60-45C1-9446-40428F7AE6AD}">
  <dimension ref="A1:H49"/>
  <sheetViews>
    <sheetView workbookViewId="0">
      <selection activeCell="C9" sqref="C9"/>
    </sheetView>
  </sheetViews>
  <sheetFormatPr defaultRowHeight="48.5" customHeight="1" x14ac:dyDescent="0.35"/>
  <cols>
    <col min="1" max="1" width="23.7265625" bestFit="1" customWidth="1"/>
    <col min="2" max="2" width="27.6328125" bestFit="1" customWidth="1"/>
    <col min="3" max="3" width="113" bestFit="1" customWidth="1"/>
    <col min="4" max="4" width="55.453125" customWidth="1"/>
    <col min="5" max="5" width="73.6328125" bestFit="1" customWidth="1"/>
    <col min="6" max="6" width="5.6328125" bestFit="1" customWidth="1"/>
    <col min="7" max="7" width="3.6328125" bestFit="1" customWidth="1"/>
  </cols>
  <sheetData>
    <row r="1" spans="1:7" ht="48.5" customHeight="1" x14ac:dyDescent="0.35">
      <c r="A1" s="3" t="s">
        <v>1787</v>
      </c>
      <c r="B1" s="3" t="s">
        <v>1788</v>
      </c>
      <c r="C1" s="3" t="s">
        <v>1789</v>
      </c>
      <c r="D1" s="3" t="s">
        <v>2</v>
      </c>
      <c r="E1" s="3" t="s">
        <v>2187</v>
      </c>
      <c r="F1" s="3" t="s">
        <v>1</v>
      </c>
      <c r="G1" s="3" t="s">
        <v>4</v>
      </c>
    </row>
    <row r="2" spans="1:7" ht="48.5" customHeight="1" x14ac:dyDescent="0.35">
      <c r="A2" t="s">
        <v>1965</v>
      </c>
      <c r="B2" t="s">
        <v>1999</v>
      </c>
      <c r="C2" t="s">
        <v>2000</v>
      </c>
      <c r="D2" t="str">
        <f>SUBSTITUTE(LOWER(B2), " ", "-") &amp; ".webp"</f>
        <v>impact-padded-street-vest.webp</v>
      </c>
      <c r="E2" t="str">
        <f t="shared" ref="E2:E35" si="0">"modules/cybermancy/assets/icons/armors/" &amp; SUBSTITUTE(LOWER(B2), " ", "-") &amp; ".webp"</f>
        <v>modules/cybermancy/assets/icons/armors/impact-padded-street-vest.webp</v>
      </c>
      <c r="F2" t="s">
        <v>1224</v>
      </c>
      <c r="G2">
        <v>1</v>
      </c>
    </row>
    <row r="3" spans="1:7" ht="48.5" customHeight="1" x14ac:dyDescent="0.35">
      <c r="A3" t="s">
        <v>1966</v>
      </c>
      <c r="B3" t="s">
        <v>2001</v>
      </c>
      <c r="C3" t="s">
        <v>2002</v>
      </c>
      <c r="D3" t="str">
        <f t="shared" ref="D3:D35" si="1">SUBSTITUTE(LOWER(B3), " ", "-") &amp; ".webp"</f>
        <v>kevflex-jacket.webp</v>
      </c>
      <c r="E3" t="str">
        <f t="shared" si="0"/>
        <v>modules/cybermancy/assets/icons/armors/kevflex-jacket.webp</v>
      </c>
      <c r="F3" t="s">
        <v>1224</v>
      </c>
      <c r="G3">
        <v>1</v>
      </c>
    </row>
    <row r="4" spans="1:7" ht="48.5" customHeight="1" x14ac:dyDescent="0.35">
      <c r="A4" t="s">
        <v>1967</v>
      </c>
      <c r="B4" t="s">
        <v>2003</v>
      </c>
      <c r="C4" t="s">
        <v>2004</v>
      </c>
      <c r="D4" t="str">
        <f t="shared" si="1"/>
        <v>slash-resistant-polymer-jacket.webp</v>
      </c>
      <c r="E4" t="str">
        <f t="shared" si="0"/>
        <v>modules/cybermancy/assets/icons/armors/slash-resistant-polymer-jacket.webp</v>
      </c>
      <c r="F4" t="s">
        <v>1224</v>
      </c>
      <c r="G4">
        <v>1</v>
      </c>
    </row>
    <row r="5" spans="1:7" ht="48.5" customHeight="1" x14ac:dyDescent="0.35">
      <c r="A5" t="s">
        <v>1968</v>
      </c>
      <c r="B5" t="s">
        <v>2005</v>
      </c>
      <c r="C5" t="s">
        <v>2006</v>
      </c>
      <c r="D5" t="str">
        <f t="shared" si="1"/>
        <v>composite-riot-carapace.webp</v>
      </c>
      <c r="E5" t="str">
        <f t="shared" si="0"/>
        <v>modules/cybermancy/assets/icons/armors/composite-riot-carapace.webp</v>
      </c>
      <c r="F5" t="s">
        <v>1224</v>
      </c>
      <c r="G5">
        <v>1</v>
      </c>
    </row>
    <row r="6" spans="1:7" ht="48.5" customHeight="1" x14ac:dyDescent="0.35">
      <c r="A6" t="s">
        <v>1969</v>
      </c>
      <c r="B6" t="s">
        <v>2007</v>
      </c>
      <c r="C6" t="s">
        <v>2008</v>
      </c>
      <c r="D6" t="str">
        <f t="shared" si="1"/>
        <v>reinforced-street-vest.webp</v>
      </c>
      <c r="E6" t="str">
        <f t="shared" si="0"/>
        <v>modules/cybermancy/assets/icons/armors/reinforced-street-vest.webp</v>
      </c>
      <c r="F6" t="s">
        <v>1224</v>
      </c>
      <c r="G6">
        <v>1</v>
      </c>
    </row>
    <row r="7" spans="1:7" ht="48.5" customHeight="1" x14ac:dyDescent="0.35">
      <c r="A7" t="s">
        <v>1970</v>
      </c>
      <c r="B7" t="s">
        <v>2009</v>
      </c>
      <c r="C7" t="s">
        <v>2010</v>
      </c>
      <c r="D7" t="str">
        <f t="shared" si="1"/>
        <v>kevflex-jacket-mk-ii.webp</v>
      </c>
      <c r="E7" t="str">
        <f t="shared" si="0"/>
        <v>modules/cybermancy/assets/icons/armors/kevflex-jacket-mk-ii.webp</v>
      </c>
      <c r="F7" t="s">
        <v>1224</v>
      </c>
      <c r="G7">
        <v>2</v>
      </c>
    </row>
    <row r="8" spans="1:7" ht="48.5" customHeight="1" x14ac:dyDescent="0.35">
      <c r="A8" t="s">
        <v>1971</v>
      </c>
      <c r="B8" t="s">
        <v>2011</v>
      </c>
      <c r="C8" t="s">
        <v>2012</v>
      </c>
      <c r="D8" t="str">
        <f t="shared" si="1"/>
        <v>advanced-slash-resistant-jacket.webp</v>
      </c>
      <c r="E8" t="str">
        <f t="shared" si="0"/>
        <v>modules/cybermancy/assets/icons/armors/advanced-slash-resistant-jacket.webp</v>
      </c>
      <c r="F8" t="s">
        <v>1224</v>
      </c>
      <c r="G8">
        <v>2</v>
      </c>
    </row>
    <row r="9" spans="1:7" ht="48.5" customHeight="1" x14ac:dyDescent="0.35">
      <c r="A9" t="s">
        <v>1972</v>
      </c>
      <c r="B9" t="s">
        <v>2013</v>
      </c>
      <c r="C9" t="s">
        <v>2014</v>
      </c>
      <c r="D9" t="str">
        <f t="shared" si="1"/>
        <v>enhanced-riot-carapace.webp</v>
      </c>
      <c r="E9" t="str">
        <f t="shared" si="0"/>
        <v>modules/cybermancy/assets/icons/armors/enhanced-riot-carapace.webp</v>
      </c>
      <c r="F9" t="s">
        <v>1224</v>
      </c>
      <c r="G9">
        <v>2</v>
      </c>
    </row>
    <row r="10" spans="1:7" ht="48.5" customHeight="1" x14ac:dyDescent="0.35">
      <c r="A10" t="s">
        <v>1973</v>
      </c>
      <c r="B10" t="s">
        <v>2015</v>
      </c>
      <c r="C10" t="s">
        <v>2016</v>
      </c>
      <c r="D10" t="str">
        <f t="shared" si="1"/>
        <v>arc-shield-mesh.webp</v>
      </c>
      <c r="E10" t="str">
        <f t="shared" si="0"/>
        <v>modules/cybermancy/assets/icons/armors/arc-shield-mesh.webp</v>
      </c>
      <c r="F10" t="s">
        <v>1224</v>
      </c>
      <c r="G10">
        <v>2</v>
      </c>
    </row>
    <row r="11" spans="1:7" ht="48.5" customHeight="1" x14ac:dyDescent="0.35">
      <c r="A11" t="s">
        <v>1974</v>
      </c>
      <c r="B11" t="s">
        <v>2017</v>
      </c>
      <c r="C11" t="s">
        <v>2018</v>
      </c>
      <c r="D11" t="str">
        <f t="shared" si="1"/>
        <v>auto-heal-laminate.webp</v>
      </c>
      <c r="E11" t="str">
        <f t="shared" si="0"/>
        <v>modules/cybermancy/assets/icons/armors/auto-heal-laminate.webp</v>
      </c>
      <c r="F11" t="s">
        <v>1224</v>
      </c>
      <c r="G11">
        <v>2</v>
      </c>
    </row>
    <row r="12" spans="1:7" ht="48.5" customHeight="1" x14ac:dyDescent="0.35">
      <c r="A12" t="s">
        <v>1975</v>
      </c>
      <c r="B12" t="s">
        <v>2019</v>
      </c>
      <c r="C12" t="s">
        <v>2020</v>
      </c>
      <c r="D12" t="str">
        <f t="shared" si="1"/>
        <v>ceramsteel-chest-rig.webp</v>
      </c>
      <c r="E12" t="str">
        <f t="shared" si="0"/>
        <v>modules/cybermancy/assets/icons/armors/ceramsteel-chest-rig.webp</v>
      </c>
      <c r="F12" t="s">
        <v>1224</v>
      </c>
      <c r="G12">
        <v>3</v>
      </c>
    </row>
    <row r="13" spans="1:7" ht="48.5" customHeight="1" x14ac:dyDescent="0.35">
      <c r="A13" t="s">
        <v>1976</v>
      </c>
      <c r="B13" t="s">
        <v>2021</v>
      </c>
      <c r="C13" t="s">
        <v>2022</v>
      </c>
      <c r="D13" t="str">
        <f t="shared" si="1"/>
        <v>kinetic-shift-harness.webp</v>
      </c>
      <c r="E13" t="str">
        <f t="shared" si="0"/>
        <v>modules/cybermancy/assets/icons/armors/kinetic-shift-harness.webp</v>
      </c>
      <c r="F13" t="s">
        <v>1224</v>
      </c>
      <c r="G13">
        <v>3</v>
      </c>
    </row>
    <row r="14" spans="1:7" ht="48.5" customHeight="1" x14ac:dyDescent="0.35">
      <c r="A14" t="s">
        <v>1977</v>
      </c>
      <c r="B14" t="s">
        <v>2023</v>
      </c>
      <c r="C14" t="s">
        <v>2024</v>
      </c>
      <c r="D14" t="str">
        <f t="shared" si="1"/>
        <v>ghoststep-weave.webp</v>
      </c>
      <c r="E14" t="str">
        <f t="shared" si="0"/>
        <v>modules/cybermancy/assets/icons/armors/ghoststep-weave.webp</v>
      </c>
      <c r="F14" t="s">
        <v>1224</v>
      </c>
      <c r="G14">
        <v>3</v>
      </c>
    </row>
    <row r="15" spans="1:7" ht="48.5" customHeight="1" x14ac:dyDescent="0.35">
      <c r="A15" t="s">
        <v>1978</v>
      </c>
      <c r="B15" t="s">
        <v>2025</v>
      </c>
      <c r="C15" t="s">
        <v>2026</v>
      </c>
      <c r="D15" t="str">
        <f t="shared" si="1"/>
        <v>hope-bank-vest.webp</v>
      </c>
      <c r="E15" t="str">
        <f t="shared" si="0"/>
        <v>modules/cybermancy/assets/icons/armors/hope-bank-vest.webp</v>
      </c>
      <c r="F15" t="s">
        <v>1224</v>
      </c>
      <c r="G15">
        <v>3</v>
      </c>
    </row>
    <row r="16" spans="1:7" ht="48.5" customHeight="1" x14ac:dyDescent="0.35">
      <c r="A16" t="s">
        <v>1979</v>
      </c>
      <c r="B16" t="s">
        <v>2027</v>
      </c>
      <c r="C16" t="s">
        <v>2028</v>
      </c>
      <c r="D16" t="str">
        <f t="shared" si="1"/>
        <v>tactical-gel-suit.webp</v>
      </c>
      <c r="E16" t="str">
        <f t="shared" si="0"/>
        <v>modules/cybermancy/assets/icons/armors/tactical-gel-suit.webp</v>
      </c>
      <c r="F16" t="s">
        <v>1224</v>
      </c>
      <c r="G16">
        <v>3</v>
      </c>
    </row>
    <row r="17" spans="1:7" ht="48.5" customHeight="1" x14ac:dyDescent="0.35">
      <c r="A17" t="s">
        <v>1980</v>
      </c>
      <c r="B17" t="s">
        <v>2029</v>
      </c>
      <c r="C17" t="s">
        <v>2030</v>
      </c>
      <c r="D17" t="str">
        <f t="shared" si="1"/>
        <v>kevflex-trench.webp</v>
      </c>
      <c r="E17" t="str">
        <f t="shared" si="0"/>
        <v>modules/cybermancy/assets/icons/armors/kevflex-trench.webp</v>
      </c>
      <c r="F17" t="s">
        <v>1224</v>
      </c>
      <c r="G17">
        <v>4</v>
      </c>
    </row>
    <row r="18" spans="1:7" ht="48.5" customHeight="1" x14ac:dyDescent="0.35">
      <c r="A18" t="s">
        <v>1981</v>
      </c>
      <c r="B18" t="s">
        <v>2031</v>
      </c>
      <c r="C18" t="s">
        <v>2032</v>
      </c>
      <c r="D18" t="str">
        <f t="shared" si="1"/>
        <v>slash-resistant-polymer-coat.webp</v>
      </c>
      <c r="E18" t="str">
        <f t="shared" si="0"/>
        <v>modules/cybermancy/assets/icons/armors/slash-resistant-polymer-coat.webp</v>
      </c>
      <c r="F18" t="s">
        <v>1224</v>
      </c>
      <c r="G18">
        <v>4</v>
      </c>
    </row>
    <row r="19" spans="1:7" ht="48.5" customHeight="1" x14ac:dyDescent="0.35">
      <c r="A19" t="s">
        <v>1982</v>
      </c>
      <c r="B19" t="s">
        <v>2033</v>
      </c>
      <c r="C19" t="s">
        <v>2034</v>
      </c>
      <c r="D19" t="str">
        <f t="shared" si="1"/>
        <v>assault-carapace.webp</v>
      </c>
      <c r="E19" t="str">
        <f t="shared" si="0"/>
        <v>modules/cybermancy/assets/icons/armors/assault-carapace.webp</v>
      </c>
      <c r="F19" t="s">
        <v>1224</v>
      </c>
      <c r="G19">
        <v>4</v>
      </c>
    </row>
    <row r="20" spans="1:7" ht="48.5" customHeight="1" x14ac:dyDescent="0.35">
      <c r="A20" t="s">
        <v>1983</v>
      </c>
      <c r="B20" t="s">
        <v>2035</v>
      </c>
      <c r="C20" t="s">
        <v>2036</v>
      </c>
      <c r="D20" t="str">
        <f t="shared" si="1"/>
        <v>gilded-boardroom-suit.webp</v>
      </c>
      <c r="E20" t="str">
        <f t="shared" si="0"/>
        <v>modules/cybermancy/assets/icons/armors/gilded-boardroom-suit.webp</v>
      </c>
      <c r="F20" t="s">
        <v>1224</v>
      </c>
      <c r="G20">
        <v>4</v>
      </c>
    </row>
    <row r="21" spans="1:7" ht="48.5" customHeight="1" x14ac:dyDescent="0.35">
      <c r="A21" t="s">
        <v>1984</v>
      </c>
      <c r="B21" t="s">
        <v>2037</v>
      </c>
      <c r="C21" s="8" t="s">
        <v>2038</v>
      </c>
      <c r="D21" t="str">
        <f t="shared" si="1"/>
        <v>failsafe-exo-plate.webp</v>
      </c>
      <c r="E21" t="str">
        <f t="shared" si="0"/>
        <v>modules/cybermancy/assets/icons/armors/failsafe-exo-plate.webp</v>
      </c>
      <c r="F21" t="s">
        <v>1224</v>
      </c>
      <c r="G21">
        <v>4</v>
      </c>
    </row>
    <row r="22" spans="1:7" ht="48.5" customHeight="1" x14ac:dyDescent="0.35">
      <c r="A22" t="s">
        <v>1985</v>
      </c>
      <c r="B22" t="s">
        <v>2039</v>
      </c>
      <c r="C22" s="8" t="s">
        <v>2040</v>
      </c>
      <c r="D22" t="str">
        <f t="shared" si="1"/>
        <v>razor-stud-carapace.webp</v>
      </c>
      <c r="E22" t="str">
        <f t="shared" si="0"/>
        <v>modules/cybermancy/assets/icons/armors/razor-stud-carapace.webp</v>
      </c>
      <c r="F22" t="s">
        <v>1224</v>
      </c>
      <c r="G22">
        <v>4</v>
      </c>
    </row>
    <row r="23" spans="1:7" ht="48.5" customHeight="1" x14ac:dyDescent="0.35">
      <c r="A23" t="s">
        <v>1986</v>
      </c>
      <c r="B23" t="s">
        <v>2041</v>
      </c>
      <c r="C23" s="8" t="s">
        <v>2042</v>
      </c>
      <c r="D23" t="str">
        <f t="shared" si="1"/>
        <v>kinetic-only-bulwark.webp</v>
      </c>
      <c r="E23" t="str">
        <f t="shared" si="0"/>
        <v>modules/cybermancy/assets/icons/armors/kinetic-only-bulwark.webp</v>
      </c>
      <c r="F23" t="s">
        <v>1224</v>
      </c>
      <c r="G23">
        <v>4</v>
      </c>
    </row>
    <row r="24" spans="1:7" ht="48.5" customHeight="1" x14ac:dyDescent="0.35">
      <c r="A24" t="s">
        <v>1987</v>
      </c>
      <c r="B24" t="s">
        <v>2043</v>
      </c>
      <c r="C24" s="8" t="s">
        <v>2044</v>
      </c>
      <c r="D24" t="str">
        <f t="shared" si="1"/>
        <v>hexweave-mantle.webp</v>
      </c>
      <c r="E24" t="str">
        <f t="shared" si="0"/>
        <v>modules/cybermancy/assets/icons/armors/hexweave-mantle.webp</v>
      </c>
      <c r="F24" t="s">
        <v>1224</v>
      </c>
      <c r="G24">
        <v>4</v>
      </c>
    </row>
    <row r="25" spans="1:7" ht="48.5" customHeight="1" x14ac:dyDescent="0.35">
      <c r="A25" t="s">
        <v>1988</v>
      </c>
      <c r="B25" t="s">
        <v>2045</v>
      </c>
      <c r="C25" s="8" t="s">
        <v>2046</v>
      </c>
      <c r="D25" t="str">
        <f t="shared" si="1"/>
        <v>pain-route-harness.webp</v>
      </c>
      <c r="E25" t="str">
        <f t="shared" si="0"/>
        <v>modules/cybermancy/assets/icons/armors/pain-route-harness.webp</v>
      </c>
      <c r="F25" t="s">
        <v>1224</v>
      </c>
      <c r="G25">
        <v>4</v>
      </c>
    </row>
    <row r="26" spans="1:7" ht="48.5" customHeight="1" x14ac:dyDescent="0.35">
      <c r="A26" t="s">
        <v>1989</v>
      </c>
      <c r="B26" t="s">
        <v>2047</v>
      </c>
      <c r="C26" s="8" t="s">
        <v>2048</v>
      </c>
      <c r="D26" t="str">
        <f t="shared" si="1"/>
        <v>legendary-gel-suit.webp</v>
      </c>
      <c r="E26" t="str">
        <f t="shared" si="0"/>
        <v>modules/cybermancy/assets/icons/armors/legendary-gel-suit.webp</v>
      </c>
      <c r="F26" t="s">
        <v>1224</v>
      </c>
      <c r="G26">
        <v>4</v>
      </c>
    </row>
    <row r="27" spans="1:7" ht="48.5" customHeight="1" x14ac:dyDescent="0.35">
      <c r="A27" t="s">
        <v>1990</v>
      </c>
      <c r="B27" t="s">
        <v>2049</v>
      </c>
      <c r="C27" s="8" t="s">
        <v>2050</v>
      </c>
      <c r="D27" t="str">
        <f t="shared" si="1"/>
        <v>legendary-kevflex-trench.webp</v>
      </c>
      <c r="E27" t="str">
        <f t="shared" si="0"/>
        <v>modules/cybermancy/assets/icons/armors/legendary-kevflex-trench.webp</v>
      </c>
      <c r="F27" t="s">
        <v>1224</v>
      </c>
      <c r="G27">
        <v>4</v>
      </c>
    </row>
    <row r="28" spans="1:7" ht="48.5" customHeight="1" x14ac:dyDescent="0.35">
      <c r="A28" t="s">
        <v>1991</v>
      </c>
      <c r="B28" t="s">
        <v>2051</v>
      </c>
      <c r="C28" s="8" t="s">
        <v>2052</v>
      </c>
      <c r="D28" t="str">
        <f t="shared" si="1"/>
        <v>legendary-polymer-coat.webp</v>
      </c>
      <c r="E28" t="str">
        <f t="shared" si="0"/>
        <v>modules/cybermancy/assets/icons/armors/legendary-polymer-coat.webp</v>
      </c>
      <c r="F28" t="s">
        <v>1224</v>
      </c>
      <c r="G28">
        <v>4</v>
      </c>
    </row>
    <row r="29" spans="1:7" ht="48.5" customHeight="1" x14ac:dyDescent="0.35">
      <c r="A29" t="s">
        <v>1992</v>
      </c>
      <c r="B29" t="s">
        <v>2053</v>
      </c>
      <c r="C29" s="8" t="s">
        <v>2054</v>
      </c>
      <c r="D29" t="str">
        <f t="shared" si="1"/>
        <v>legendary-assault-carapace.webp</v>
      </c>
      <c r="E29" t="str">
        <f t="shared" si="0"/>
        <v>modules/cybermancy/assets/icons/armors/legendary-assault-carapace.webp</v>
      </c>
      <c r="F29" t="s">
        <v>1224</v>
      </c>
      <c r="G29">
        <v>4</v>
      </c>
    </row>
    <row r="30" spans="1:7" ht="48.5" customHeight="1" x14ac:dyDescent="0.35">
      <c r="A30" t="s">
        <v>1993</v>
      </c>
      <c r="B30" t="s">
        <v>2055</v>
      </c>
      <c r="C30" s="8" t="s">
        <v>2056</v>
      </c>
      <c r="D30" t="str">
        <f t="shared" si="1"/>
        <v>timeslip-silks.webp</v>
      </c>
      <c r="E30" t="str">
        <f t="shared" si="0"/>
        <v>modules/cybermancy/assets/icons/armors/timeslip-silks.webp</v>
      </c>
      <c r="F30" t="s">
        <v>1224</v>
      </c>
      <c r="G30">
        <v>4</v>
      </c>
    </row>
    <row r="31" spans="1:7" ht="48.5" customHeight="1" x14ac:dyDescent="0.35">
      <c r="A31" t="s">
        <v>1994</v>
      </c>
      <c r="B31" t="s">
        <v>2057</v>
      </c>
      <c r="C31" s="8" t="s">
        <v>2058</v>
      </c>
      <c r="D31" t="str">
        <f t="shared" si="1"/>
        <v>caster’s-conduit-harness.webp</v>
      </c>
      <c r="E31" t="str">
        <f t="shared" si="0"/>
        <v>modules/cybermancy/assets/icons/armors/caster’s-conduit-harness.webp</v>
      </c>
      <c r="F31" t="s">
        <v>1224</v>
      </c>
      <c r="G31">
        <v>4</v>
      </c>
    </row>
    <row r="32" spans="1:7" ht="48.5" customHeight="1" x14ac:dyDescent="0.35">
      <c r="A32" t="s">
        <v>1995</v>
      </c>
      <c r="B32" t="s">
        <v>2059</v>
      </c>
      <c r="C32" s="8" t="s">
        <v>2060</v>
      </c>
      <c r="D32" t="str">
        <f t="shared" si="1"/>
        <v>emberguard-mantle.webp</v>
      </c>
      <c r="E32" t="str">
        <f t="shared" si="0"/>
        <v>modules/cybermancy/assets/icons/armors/emberguard-mantle.webp</v>
      </c>
      <c r="F32" t="s">
        <v>1224</v>
      </c>
      <c r="G32">
        <v>4</v>
      </c>
    </row>
    <row r="33" spans="1:8" ht="48.5" customHeight="1" x14ac:dyDescent="0.35">
      <c r="A33" t="s">
        <v>1996</v>
      </c>
      <c r="B33" t="s">
        <v>2061</v>
      </c>
      <c r="C33" s="8" t="s">
        <v>2062</v>
      </c>
      <c r="D33" t="str">
        <f t="shared" si="1"/>
        <v>double-buffer-plating.webp</v>
      </c>
      <c r="E33" t="str">
        <f t="shared" si="0"/>
        <v>modules/cybermancy/assets/icons/armors/double-buffer-plating.webp</v>
      </c>
      <c r="F33" t="s">
        <v>1224</v>
      </c>
      <c r="G33">
        <v>4</v>
      </c>
    </row>
    <row r="34" spans="1:8" ht="48.5" customHeight="1" x14ac:dyDescent="0.35">
      <c r="A34" t="s">
        <v>1997</v>
      </c>
      <c r="B34" t="s">
        <v>2063</v>
      </c>
      <c r="C34" s="8" t="s">
        <v>2064</v>
      </c>
      <c r="D34" t="str">
        <f t="shared" si="1"/>
        <v>truthlight-carapace.webp</v>
      </c>
      <c r="E34" t="str">
        <f t="shared" si="0"/>
        <v>modules/cybermancy/assets/icons/armors/truthlight-carapace.webp</v>
      </c>
      <c r="F34" t="s">
        <v>1224</v>
      </c>
      <c r="G34">
        <v>4</v>
      </c>
    </row>
    <row r="35" spans="1:8" ht="48.5" customHeight="1" x14ac:dyDescent="0.35">
      <c r="A35" t="s">
        <v>1998</v>
      </c>
      <c r="B35" t="s">
        <v>2065</v>
      </c>
      <c r="C35" s="8" t="s">
        <v>2066</v>
      </c>
      <c r="D35" t="str">
        <f t="shared" si="1"/>
        <v>savior-polymer-aegis.webp</v>
      </c>
      <c r="E35" t="str">
        <f t="shared" si="0"/>
        <v>modules/cybermancy/assets/icons/armors/savior-polymer-aegis.webp</v>
      </c>
      <c r="F35" t="s">
        <v>1224</v>
      </c>
      <c r="G35">
        <v>4</v>
      </c>
    </row>
    <row r="36" spans="1:8" ht="48.5" customHeight="1" x14ac:dyDescent="0.35">
      <c r="C36" s="8"/>
      <c r="D36" s="8"/>
    </row>
    <row r="37" spans="1:8" ht="48.5" customHeight="1" x14ac:dyDescent="0.35">
      <c r="C37" s="8"/>
      <c r="D37" s="8"/>
    </row>
    <row r="38" spans="1:8" ht="48.5" customHeight="1" x14ac:dyDescent="0.35">
      <c r="C38" s="8"/>
      <c r="D38" s="8"/>
    </row>
    <row r="39" spans="1:8" ht="48.5" customHeight="1" x14ac:dyDescent="0.35">
      <c r="C39" s="8"/>
      <c r="D39" s="8"/>
    </row>
    <row r="40" spans="1:8" ht="48.5" customHeight="1" x14ac:dyDescent="0.35">
      <c r="C40" s="8"/>
      <c r="D40" s="8"/>
      <c r="H40" s="11"/>
    </row>
    <row r="41" spans="1:8" ht="48.5" customHeight="1" x14ac:dyDescent="0.35">
      <c r="C41" s="8"/>
      <c r="D41" s="8"/>
      <c r="H41" s="11"/>
    </row>
    <row r="42" spans="1:8" ht="48.5" customHeight="1" x14ac:dyDescent="0.35">
      <c r="C42" s="8"/>
      <c r="D42" s="8"/>
      <c r="H42" s="11"/>
    </row>
    <row r="43" spans="1:8" ht="48.5" customHeight="1" x14ac:dyDescent="0.35">
      <c r="C43" s="8"/>
      <c r="D43" s="8"/>
      <c r="H43" s="11"/>
    </row>
    <row r="44" spans="1:8" ht="48.5" customHeight="1" x14ac:dyDescent="0.35">
      <c r="C44" s="8"/>
      <c r="D44" s="8"/>
      <c r="H44" s="11"/>
    </row>
    <row r="45" spans="1:8" ht="48.5" customHeight="1" x14ac:dyDescent="0.35">
      <c r="C45" s="8"/>
      <c r="D45" s="8"/>
      <c r="H45" s="11"/>
    </row>
    <row r="46" spans="1:8" ht="48.5" customHeight="1" x14ac:dyDescent="0.35">
      <c r="C46" s="8"/>
      <c r="D46" s="8"/>
      <c r="H46" s="11"/>
    </row>
    <row r="47" spans="1:8" ht="48.5" customHeight="1" x14ac:dyDescent="0.35">
      <c r="H47" s="11"/>
    </row>
    <row r="48" spans="1:8" ht="48.5" customHeight="1" x14ac:dyDescent="0.35">
      <c r="H48" s="11"/>
    </row>
    <row r="49" spans="8:8" ht="48.5" customHeight="1" x14ac:dyDescent="0.35">
      <c r="H49" s="11"/>
    </row>
  </sheetData>
  <dataValidations disablePrompts="1" count="1">
    <dataValidation type="whole" allowBlank="1" showInputMessage="1" showErrorMessage="1" sqref="G2:G46" xr:uid="{0C9D9134-F79D-4817-8CCF-3F076393413E}">
      <formula1>1</formula1>
      <formula2>4</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A8EE6-501F-4B00-814F-328C37F2839C}">
  <dimension ref="A1:E61"/>
  <sheetViews>
    <sheetView workbookViewId="0">
      <selection activeCell="C23" sqref="C23"/>
    </sheetView>
  </sheetViews>
  <sheetFormatPr defaultRowHeight="14.5" x14ac:dyDescent="0.35"/>
  <cols>
    <col min="1" max="1" width="25" bestFit="1" customWidth="1"/>
    <col min="2" max="2" width="28.1796875" bestFit="1" customWidth="1"/>
    <col min="3" max="3" width="99.453125" bestFit="1" customWidth="1"/>
    <col min="4" max="4" width="27.1796875" customWidth="1"/>
  </cols>
  <sheetData>
    <row r="1" spans="1:5" s="10" customFormat="1" x14ac:dyDescent="0.35">
      <c r="A1" s="10" t="s">
        <v>1787</v>
      </c>
      <c r="B1" s="10" t="s">
        <v>1788</v>
      </c>
      <c r="C1" s="10" t="s">
        <v>1789</v>
      </c>
      <c r="D1" s="10" t="s">
        <v>2</v>
      </c>
      <c r="E1" s="10" t="s">
        <v>2187</v>
      </c>
    </row>
    <row r="2" spans="1:5" x14ac:dyDescent="0.35">
      <c r="A2" t="s">
        <v>1790</v>
      </c>
      <c r="B2" t="s">
        <v>1791</v>
      </c>
      <c r="C2" t="s">
        <v>1792</v>
      </c>
      <c r="D2" t="s">
        <v>2127</v>
      </c>
      <c r="E2" t="s">
        <v>2067</v>
      </c>
    </row>
    <row r="3" spans="1:5" x14ac:dyDescent="0.35">
      <c r="A3" t="s">
        <v>1793</v>
      </c>
      <c r="B3" t="s">
        <v>1794</v>
      </c>
      <c r="C3" t="s">
        <v>1795</v>
      </c>
      <c r="D3" t="s">
        <v>2128</v>
      </c>
      <c r="E3" t="s">
        <v>2068</v>
      </c>
    </row>
    <row r="4" spans="1:5" x14ac:dyDescent="0.35">
      <c r="A4" t="s">
        <v>1796</v>
      </c>
      <c r="B4" t="s">
        <v>1797</v>
      </c>
      <c r="C4" t="s">
        <v>1798</v>
      </c>
      <c r="D4" t="s">
        <v>2129</v>
      </c>
      <c r="E4" t="s">
        <v>2069</v>
      </c>
    </row>
    <row r="5" spans="1:5" x14ac:dyDescent="0.35">
      <c r="A5" t="s">
        <v>1799</v>
      </c>
      <c r="B5" t="s">
        <v>1800</v>
      </c>
      <c r="C5" t="s">
        <v>1801</v>
      </c>
      <c r="D5" t="s">
        <v>2130</v>
      </c>
      <c r="E5" t="s">
        <v>2070</v>
      </c>
    </row>
    <row r="6" spans="1:5" x14ac:dyDescent="0.35">
      <c r="A6" t="s">
        <v>1802</v>
      </c>
      <c r="B6" t="s">
        <v>1803</v>
      </c>
      <c r="C6" t="s">
        <v>1804</v>
      </c>
      <c r="D6" t="s">
        <v>2131</v>
      </c>
      <c r="E6" t="s">
        <v>2071</v>
      </c>
    </row>
    <row r="7" spans="1:5" x14ac:dyDescent="0.35">
      <c r="A7" t="s">
        <v>1805</v>
      </c>
      <c r="B7" t="s">
        <v>1806</v>
      </c>
      <c r="C7" t="s">
        <v>1807</v>
      </c>
      <c r="D7" t="s">
        <v>2132</v>
      </c>
      <c r="E7" t="s">
        <v>2072</v>
      </c>
    </row>
    <row r="8" spans="1:5" x14ac:dyDescent="0.35">
      <c r="A8" t="s">
        <v>1808</v>
      </c>
      <c r="B8" t="s">
        <v>1809</v>
      </c>
      <c r="C8" t="s">
        <v>1810</v>
      </c>
      <c r="D8" t="s">
        <v>2133</v>
      </c>
      <c r="E8" t="s">
        <v>2073</v>
      </c>
    </row>
    <row r="9" spans="1:5" x14ac:dyDescent="0.35">
      <c r="A9" t="s">
        <v>1811</v>
      </c>
      <c r="B9" t="s">
        <v>1812</v>
      </c>
      <c r="C9" t="s">
        <v>1813</v>
      </c>
      <c r="D9" t="s">
        <v>2134</v>
      </c>
      <c r="E9" t="s">
        <v>2074</v>
      </c>
    </row>
    <row r="10" spans="1:5" x14ac:dyDescent="0.35">
      <c r="A10" t="s">
        <v>1814</v>
      </c>
      <c r="B10" t="s">
        <v>1815</v>
      </c>
      <c r="C10" t="s">
        <v>1816</v>
      </c>
      <c r="D10" t="s">
        <v>2135</v>
      </c>
      <c r="E10" t="s">
        <v>2075</v>
      </c>
    </row>
    <row r="11" spans="1:5" x14ac:dyDescent="0.35">
      <c r="A11" t="s">
        <v>1817</v>
      </c>
      <c r="B11" t="s">
        <v>1818</v>
      </c>
      <c r="C11" t="s">
        <v>1819</v>
      </c>
      <c r="D11" t="s">
        <v>2136</v>
      </c>
      <c r="E11" t="s">
        <v>2076</v>
      </c>
    </row>
    <row r="12" spans="1:5" x14ac:dyDescent="0.35">
      <c r="A12" t="s">
        <v>1820</v>
      </c>
      <c r="B12" t="s">
        <v>1821</v>
      </c>
      <c r="C12" t="s">
        <v>1822</v>
      </c>
      <c r="D12" t="s">
        <v>2137</v>
      </c>
      <c r="E12" t="s">
        <v>2077</v>
      </c>
    </row>
    <row r="13" spans="1:5" x14ac:dyDescent="0.35">
      <c r="A13" t="s">
        <v>1823</v>
      </c>
      <c r="B13" t="s">
        <v>1824</v>
      </c>
      <c r="C13" t="s">
        <v>1825</v>
      </c>
      <c r="D13" t="s">
        <v>2138</v>
      </c>
      <c r="E13" t="s">
        <v>2078</v>
      </c>
    </row>
    <row r="14" spans="1:5" x14ac:dyDescent="0.35">
      <c r="A14" t="s">
        <v>1826</v>
      </c>
      <c r="B14" t="s">
        <v>1827</v>
      </c>
      <c r="C14" t="s">
        <v>1828</v>
      </c>
      <c r="D14" t="s">
        <v>2139</v>
      </c>
      <c r="E14" t="s">
        <v>2079</v>
      </c>
    </row>
    <row r="15" spans="1:5" x14ac:dyDescent="0.35">
      <c r="A15" t="s">
        <v>1829</v>
      </c>
      <c r="B15" t="s">
        <v>1830</v>
      </c>
      <c r="C15" t="s">
        <v>1831</v>
      </c>
      <c r="D15" t="s">
        <v>2140</v>
      </c>
      <c r="E15" t="s">
        <v>2080</v>
      </c>
    </row>
    <row r="16" spans="1:5" x14ac:dyDescent="0.35">
      <c r="A16" t="s">
        <v>1832</v>
      </c>
      <c r="B16" t="s">
        <v>1833</v>
      </c>
      <c r="C16" t="s">
        <v>1834</v>
      </c>
      <c r="D16" t="s">
        <v>2141</v>
      </c>
      <c r="E16" t="s">
        <v>2081</v>
      </c>
    </row>
    <row r="17" spans="1:5" x14ac:dyDescent="0.35">
      <c r="A17" t="s">
        <v>1835</v>
      </c>
      <c r="B17" t="s">
        <v>1836</v>
      </c>
      <c r="C17" t="s">
        <v>1837</v>
      </c>
      <c r="D17" t="s">
        <v>2142</v>
      </c>
      <c r="E17" t="s">
        <v>2082</v>
      </c>
    </row>
    <row r="18" spans="1:5" x14ac:dyDescent="0.35">
      <c r="A18" t="s">
        <v>1838</v>
      </c>
      <c r="B18" t="s">
        <v>1839</v>
      </c>
      <c r="C18" t="s">
        <v>1840</v>
      </c>
      <c r="D18" t="s">
        <v>2143</v>
      </c>
      <c r="E18" t="s">
        <v>2083</v>
      </c>
    </row>
    <row r="19" spans="1:5" x14ac:dyDescent="0.35">
      <c r="A19" t="s">
        <v>1841</v>
      </c>
      <c r="B19" t="s">
        <v>1842</v>
      </c>
      <c r="C19" t="s">
        <v>1843</v>
      </c>
      <c r="D19" t="s">
        <v>2144</v>
      </c>
      <c r="E19" t="s">
        <v>2084</v>
      </c>
    </row>
    <row r="20" spans="1:5" x14ac:dyDescent="0.35">
      <c r="A20" t="s">
        <v>1844</v>
      </c>
      <c r="B20" t="s">
        <v>1845</v>
      </c>
      <c r="C20" t="s">
        <v>1846</v>
      </c>
      <c r="D20" t="s">
        <v>2145</v>
      </c>
      <c r="E20" t="s">
        <v>2085</v>
      </c>
    </row>
    <row r="21" spans="1:5" x14ac:dyDescent="0.35">
      <c r="A21" t="s">
        <v>1847</v>
      </c>
      <c r="B21" t="s">
        <v>1848</v>
      </c>
      <c r="C21" t="s">
        <v>1849</v>
      </c>
      <c r="D21" t="s">
        <v>2146</v>
      </c>
      <c r="E21" t="s">
        <v>2086</v>
      </c>
    </row>
    <row r="22" spans="1:5" x14ac:dyDescent="0.35">
      <c r="A22" t="s">
        <v>1850</v>
      </c>
      <c r="B22" t="s">
        <v>1851</v>
      </c>
      <c r="C22" t="s">
        <v>1852</v>
      </c>
      <c r="D22" t="s">
        <v>2147</v>
      </c>
      <c r="E22" t="s">
        <v>2087</v>
      </c>
    </row>
    <row r="23" spans="1:5" x14ac:dyDescent="0.35">
      <c r="A23" t="s">
        <v>1853</v>
      </c>
      <c r="B23" t="s">
        <v>1854</v>
      </c>
      <c r="C23" t="s">
        <v>1855</v>
      </c>
      <c r="D23" t="s">
        <v>2148</v>
      </c>
      <c r="E23" t="s">
        <v>2088</v>
      </c>
    </row>
    <row r="24" spans="1:5" x14ac:dyDescent="0.35">
      <c r="A24" t="s">
        <v>1856</v>
      </c>
      <c r="B24" t="s">
        <v>1857</v>
      </c>
      <c r="C24" t="s">
        <v>1858</v>
      </c>
      <c r="D24" t="s">
        <v>2149</v>
      </c>
      <c r="E24" t="s">
        <v>2089</v>
      </c>
    </row>
    <row r="25" spans="1:5" x14ac:dyDescent="0.35">
      <c r="A25" t="s">
        <v>1859</v>
      </c>
      <c r="B25" t="s">
        <v>1860</v>
      </c>
      <c r="C25" t="s">
        <v>1861</v>
      </c>
      <c r="D25" t="s">
        <v>2150</v>
      </c>
      <c r="E25" t="s">
        <v>2090</v>
      </c>
    </row>
    <row r="26" spans="1:5" x14ac:dyDescent="0.35">
      <c r="A26" t="s">
        <v>1862</v>
      </c>
      <c r="B26" t="s">
        <v>1863</v>
      </c>
      <c r="C26" t="s">
        <v>1864</v>
      </c>
      <c r="D26" t="s">
        <v>2151</v>
      </c>
      <c r="E26" t="s">
        <v>2091</v>
      </c>
    </row>
    <row r="27" spans="1:5" x14ac:dyDescent="0.35">
      <c r="A27" t="s">
        <v>1865</v>
      </c>
      <c r="B27" t="s">
        <v>1866</v>
      </c>
      <c r="C27" t="s">
        <v>1867</v>
      </c>
      <c r="D27" t="s">
        <v>2152</v>
      </c>
      <c r="E27" t="s">
        <v>2092</v>
      </c>
    </row>
    <row r="28" spans="1:5" x14ac:dyDescent="0.35">
      <c r="A28" t="s">
        <v>1868</v>
      </c>
      <c r="B28" t="s">
        <v>1869</v>
      </c>
      <c r="C28" t="s">
        <v>1870</v>
      </c>
      <c r="D28" t="s">
        <v>2153</v>
      </c>
      <c r="E28" t="s">
        <v>2093</v>
      </c>
    </row>
    <row r="29" spans="1:5" x14ac:dyDescent="0.35">
      <c r="A29" t="s">
        <v>1871</v>
      </c>
      <c r="B29" t="s">
        <v>1872</v>
      </c>
      <c r="C29" t="s">
        <v>1873</v>
      </c>
      <c r="D29" t="s">
        <v>2154</v>
      </c>
      <c r="E29" t="s">
        <v>2094</v>
      </c>
    </row>
    <row r="30" spans="1:5" x14ac:dyDescent="0.35">
      <c r="A30" t="s">
        <v>1874</v>
      </c>
      <c r="B30" t="s">
        <v>1875</v>
      </c>
      <c r="C30" t="s">
        <v>1876</v>
      </c>
      <c r="D30" t="s">
        <v>2155</v>
      </c>
      <c r="E30" t="s">
        <v>2095</v>
      </c>
    </row>
    <row r="31" spans="1:5" x14ac:dyDescent="0.35">
      <c r="A31" t="s">
        <v>1877</v>
      </c>
      <c r="B31" t="s">
        <v>1878</v>
      </c>
      <c r="C31" t="s">
        <v>1879</v>
      </c>
      <c r="D31" t="s">
        <v>2156</v>
      </c>
      <c r="E31" t="s">
        <v>2096</v>
      </c>
    </row>
    <row r="32" spans="1:5" x14ac:dyDescent="0.35">
      <c r="A32" t="s">
        <v>1880</v>
      </c>
      <c r="B32" t="s">
        <v>1881</v>
      </c>
      <c r="C32" t="s">
        <v>1882</v>
      </c>
      <c r="D32" t="s">
        <v>2157</v>
      </c>
      <c r="E32" t="s">
        <v>2097</v>
      </c>
    </row>
    <row r="33" spans="1:5" x14ac:dyDescent="0.35">
      <c r="A33" t="s">
        <v>1883</v>
      </c>
      <c r="B33" t="s">
        <v>1884</v>
      </c>
      <c r="C33" t="s">
        <v>1885</v>
      </c>
      <c r="D33" t="s">
        <v>2158</v>
      </c>
      <c r="E33" t="s">
        <v>2098</v>
      </c>
    </row>
    <row r="34" spans="1:5" x14ac:dyDescent="0.35">
      <c r="A34" t="s">
        <v>1886</v>
      </c>
      <c r="B34" t="s">
        <v>1887</v>
      </c>
      <c r="C34" t="s">
        <v>1888</v>
      </c>
      <c r="D34" t="s">
        <v>2159</v>
      </c>
      <c r="E34" t="s">
        <v>2099</v>
      </c>
    </row>
    <row r="35" spans="1:5" x14ac:dyDescent="0.35">
      <c r="A35" t="s">
        <v>107</v>
      </c>
      <c r="B35" t="s">
        <v>1889</v>
      </c>
      <c r="C35" t="s">
        <v>1890</v>
      </c>
      <c r="D35" t="s">
        <v>2160</v>
      </c>
      <c r="E35" t="s">
        <v>2100</v>
      </c>
    </row>
    <row r="36" spans="1:5" x14ac:dyDescent="0.35">
      <c r="A36" t="s">
        <v>1891</v>
      </c>
      <c r="B36" t="s">
        <v>1892</v>
      </c>
      <c r="C36" t="s">
        <v>1893</v>
      </c>
      <c r="D36" t="s">
        <v>2161</v>
      </c>
      <c r="E36" t="s">
        <v>2101</v>
      </c>
    </row>
    <row r="37" spans="1:5" x14ac:dyDescent="0.35">
      <c r="A37" t="s">
        <v>86</v>
      </c>
      <c r="B37" t="s">
        <v>1894</v>
      </c>
      <c r="C37" t="s">
        <v>1895</v>
      </c>
      <c r="D37" t="s">
        <v>2162</v>
      </c>
      <c r="E37" t="s">
        <v>2102</v>
      </c>
    </row>
    <row r="38" spans="1:5" x14ac:dyDescent="0.35">
      <c r="A38" t="s">
        <v>1896</v>
      </c>
      <c r="B38" t="s">
        <v>1897</v>
      </c>
      <c r="C38" t="s">
        <v>1898</v>
      </c>
      <c r="D38" t="s">
        <v>2163</v>
      </c>
      <c r="E38" t="s">
        <v>2103</v>
      </c>
    </row>
    <row r="39" spans="1:5" x14ac:dyDescent="0.35">
      <c r="A39" t="s">
        <v>1899</v>
      </c>
      <c r="B39" t="s">
        <v>1900</v>
      </c>
      <c r="C39" t="s">
        <v>1901</v>
      </c>
      <c r="D39" t="s">
        <v>2164</v>
      </c>
      <c r="E39" t="s">
        <v>2104</v>
      </c>
    </row>
    <row r="40" spans="1:5" x14ac:dyDescent="0.35">
      <c r="A40" t="s">
        <v>127</v>
      </c>
      <c r="B40" t="s">
        <v>1902</v>
      </c>
      <c r="C40" t="s">
        <v>1903</v>
      </c>
      <c r="D40" t="s">
        <v>2165</v>
      </c>
      <c r="E40" t="s">
        <v>2105</v>
      </c>
    </row>
    <row r="41" spans="1:5" x14ac:dyDescent="0.35">
      <c r="A41" t="s">
        <v>1904</v>
      </c>
      <c r="B41" t="s">
        <v>1905</v>
      </c>
      <c r="C41" t="s">
        <v>1906</v>
      </c>
      <c r="D41" t="s">
        <v>2166</v>
      </c>
      <c r="E41" t="s">
        <v>2106</v>
      </c>
    </row>
    <row r="42" spans="1:5" x14ac:dyDescent="0.35">
      <c r="A42" t="s">
        <v>1907</v>
      </c>
      <c r="B42" t="s">
        <v>1908</v>
      </c>
      <c r="C42" t="s">
        <v>1909</v>
      </c>
      <c r="D42" t="s">
        <v>2167</v>
      </c>
      <c r="E42" t="s">
        <v>2107</v>
      </c>
    </row>
    <row r="43" spans="1:5" x14ac:dyDescent="0.35">
      <c r="A43" t="s">
        <v>1910</v>
      </c>
      <c r="B43" t="s">
        <v>1911</v>
      </c>
      <c r="C43" t="s">
        <v>1912</v>
      </c>
      <c r="D43" t="s">
        <v>2168</v>
      </c>
      <c r="E43" t="s">
        <v>2108</v>
      </c>
    </row>
    <row r="44" spans="1:5" x14ac:dyDescent="0.35">
      <c r="A44" t="s">
        <v>1913</v>
      </c>
      <c r="B44" t="s">
        <v>1914</v>
      </c>
      <c r="C44" t="s">
        <v>1915</v>
      </c>
      <c r="D44" t="s">
        <v>2169</v>
      </c>
      <c r="E44" t="s">
        <v>2109</v>
      </c>
    </row>
    <row r="45" spans="1:5" x14ac:dyDescent="0.35">
      <c r="A45" t="s">
        <v>1916</v>
      </c>
      <c r="B45" t="s">
        <v>1917</v>
      </c>
      <c r="C45" t="s">
        <v>1918</v>
      </c>
      <c r="D45" t="s">
        <v>2170</v>
      </c>
      <c r="E45" t="s">
        <v>2110</v>
      </c>
    </row>
    <row r="46" spans="1:5" x14ac:dyDescent="0.35">
      <c r="A46" t="s">
        <v>1919</v>
      </c>
      <c r="B46" t="s">
        <v>1920</v>
      </c>
      <c r="C46" t="s">
        <v>1921</v>
      </c>
      <c r="D46" t="s">
        <v>2171</v>
      </c>
      <c r="E46" t="s">
        <v>2111</v>
      </c>
    </row>
    <row r="47" spans="1:5" x14ac:dyDescent="0.35">
      <c r="A47" t="s">
        <v>219</v>
      </c>
      <c r="B47" t="s">
        <v>1922</v>
      </c>
      <c r="C47" t="s">
        <v>1923</v>
      </c>
      <c r="D47" t="s">
        <v>2172</v>
      </c>
      <c r="E47" t="s">
        <v>2112</v>
      </c>
    </row>
    <row r="48" spans="1:5" x14ac:dyDescent="0.35">
      <c r="A48" t="s">
        <v>1924</v>
      </c>
      <c r="B48" t="s">
        <v>1925</v>
      </c>
      <c r="C48" t="s">
        <v>1926</v>
      </c>
      <c r="D48" t="s">
        <v>2173</v>
      </c>
      <c r="E48" t="s">
        <v>2113</v>
      </c>
    </row>
    <row r="49" spans="1:5" x14ac:dyDescent="0.35">
      <c r="A49" t="s">
        <v>1927</v>
      </c>
      <c r="B49" t="s">
        <v>1928</v>
      </c>
      <c r="C49" t="s">
        <v>1929</v>
      </c>
      <c r="D49" t="s">
        <v>2174</v>
      </c>
      <c r="E49" t="s">
        <v>2114</v>
      </c>
    </row>
    <row r="50" spans="1:5" x14ac:dyDescent="0.35">
      <c r="A50" t="s">
        <v>1930</v>
      </c>
      <c r="B50" t="s">
        <v>1931</v>
      </c>
      <c r="C50" t="s">
        <v>1932</v>
      </c>
      <c r="D50" t="s">
        <v>2175</v>
      </c>
      <c r="E50" t="s">
        <v>2115</v>
      </c>
    </row>
    <row r="51" spans="1:5" x14ac:dyDescent="0.35">
      <c r="A51" t="s">
        <v>1933</v>
      </c>
      <c r="B51" t="s">
        <v>1934</v>
      </c>
      <c r="C51" t="s">
        <v>1935</v>
      </c>
      <c r="D51" t="s">
        <v>2176</v>
      </c>
      <c r="E51" t="s">
        <v>2116</v>
      </c>
    </row>
    <row r="52" spans="1:5" x14ac:dyDescent="0.35">
      <c r="A52" t="s">
        <v>1936</v>
      </c>
      <c r="B52" t="s">
        <v>1937</v>
      </c>
      <c r="C52" t="s">
        <v>1938</v>
      </c>
      <c r="D52" t="s">
        <v>2177</v>
      </c>
      <c r="E52" t="s">
        <v>2117</v>
      </c>
    </row>
    <row r="53" spans="1:5" x14ac:dyDescent="0.35">
      <c r="A53" t="s">
        <v>1939</v>
      </c>
      <c r="B53" t="s">
        <v>1940</v>
      </c>
      <c r="C53" t="s">
        <v>1941</v>
      </c>
      <c r="D53" t="s">
        <v>2178</v>
      </c>
      <c r="E53" t="s">
        <v>2118</v>
      </c>
    </row>
    <row r="54" spans="1:5" x14ac:dyDescent="0.35">
      <c r="A54" t="s">
        <v>1942</v>
      </c>
      <c r="B54" t="s">
        <v>1943</v>
      </c>
      <c r="C54" t="s">
        <v>1944</v>
      </c>
      <c r="D54" t="s">
        <v>2179</v>
      </c>
      <c r="E54" t="s">
        <v>2119</v>
      </c>
    </row>
    <row r="55" spans="1:5" x14ac:dyDescent="0.35">
      <c r="A55" t="s">
        <v>1945</v>
      </c>
      <c r="B55" t="s">
        <v>1946</v>
      </c>
      <c r="C55" t="s">
        <v>1947</v>
      </c>
      <c r="D55" t="s">
        <v>2180</v>
      </c>
      <c r="E55" t="s">
        <v>2120</v>
      </c>
    </row>
    <row r="56" spans="1:5" x14ac:dyDescent="0.35">
      <c r="A56" t="s">
        <v>1948</v>
      </c>
      <c r="B56" t="s">
        <v>1949</v>
      </c>
      <c r="C56" t="s">
        <v>1950</v>
      </c>
      <c r="D56" t="s">
        <v>2181</v>
      </c>
      <c r="E56" t="s">
        <v>2121</v>
      </c>
    </row>
    <row r="57" spans="1:5" x14ac:dyDescent="0.35">
      <c r="A57" t="s">
        <v>1951</v>
      </c>
      <c r="B57" t="s">
        <v>1952</v>
      </c>
      <c r="C57" t="s">
        <v>1953</v>
      </c>
      <c r="D57" t="s">
        <v>2182</v>
      </c>
      <c r="E57" t="s">
        <v>2122</v>
      </c>
    </row>
    <row r="58" spans="1:5" x14ac:dyDescent="0.35">
      <c r="A58" t="s">
        <v>1954</v>
      </c>
      <c r="B58" t="s">
        <v>1955</v>
      </c>
      <c r="C58" t="s">
        <v>1956</v>
      </c>
      <c r="D58" t="s">
        <v>2183</v>
      </c>
      <c r="E58" t="s">
        <v>2123</v>
      </c>
    </row>
    <row r="59" spans="1:5" x14ac:dyDescent="0.35">
      <c r="A59" t="s">
        <v>1957</v>
      </c>
      <c r="B59" t="s">
        <v>1958</v>
      </c>
      <c r="C59" t="s">
        <v>1959</v>
      </c>
      <c r="D59" t="s">
        <v>2184</v>
      </c>
      <c r="E59" t="s">
        <v>2124</v>
      </c>
    </row>
    <row r="60" spans="1:5" x14ac:dyDescent="0.35">
      <c r="A60" t="s">
        <v>1960</v>
      </c>
      <c r="B60" t="s">
        <v>1961</v>
      </c>
      <c r="C60" t="s">
        <v>1962</v>
      </c>
      <c r="D60" t="s">
        <v>2185</v>
      </c>
      <c r="E60" t="s">
        <v>2125</v>
      </c>
    </row>
    <row r="61" spans="1:5" x14ac:dyDescent="0.35">
      <c r="A61" t="s">
        <v>200</v>
      </c>
      <c r="B61" t="s">
        <v>1963</v>
      </c>
      <c r="C61" t="s">
        <v>1964</v>
      </c>
      <c r="D61" t="s">
        <v>2186</v>
      </c>
      <c r="E61" t="s">
        <v>2126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1D2C-3F01-408E-9C40-72E675337C13}">
  <dimension ref="A1:F61"/>
  <sheetViews>
    <sheetView workbookViewId="0">
      <selection activeCell="B22" sqref="B22"/>
    </sheetView>
  </sheetViews>
  <sheetFormatPr defaultRowHeight="14.5" x14ac:dyDescent="0.35"/>
  <cols>
    <col min="1" max="1" width="26.54296875" customWidth="1"/>
    <col min="2" max="2" width="78.26953125" customWidth="1"/>
  </cols>
  <sheetData>
    <row r="1" spans="1:6" s="10" customFormat="1" x14ac:dyDescent="0.35">
      <c r="A1" s="10" t="s">
        <v>1787</v>
      </c>
      <c r="B1" s="10" t="s">
        <v>1788</v>
      </c>
      <c r="C1" s="10" t="s">
        <v>1789</v>
      </c>
      <c r="D1" s="10" t="s">
        <v>2</v>
      </c>
      <c r="E1" s="10" t="s">
        <v>59</v>
      </c>
      <c r="F1" s="10" t="s">
        <v>2187</v>
      </c>
    </row>
    <row r="2" spans="1:6" x14ac:dyDescent="0.35">
      <c r="A2" t="s">
        <v>2188</v>
      </c>
      <c r="B2" t="s">
        <v>2248</v>
      </c>
      <c r="C2" t="s">
        <v>2249</v>
      </c>
      <c r="D2" t="s">
        <v>2250</v>
      </c>
      <c r="E2" t="s">
        <v>1228</v>
      </c>
      <c r="F2" t="s">
        <v>2251</v>
      </c>
    </row>
    <row r="3" spans="1:6" x14ac:dyDescent="0.35">
      <c r="A3" t="s">
        <v>2189</v>
      </c>
      <c r="B3" t="s">
        <v>2252</v>
      </c>
      <c r="C3" t="s">
        <v>2253</v>
      </c>
      <c r="D3" t="s">
        <v>2254</v>
      </c>
      <c r="E3" t="s">
        <v>1228</v>
      </c>
      <c r="F3" t="s">
        <v>2255</v>
      </c>
    </row>
    <row r="4" spans="1:6" x14ac:dyDescent="0.35">
      <c r="A4" t="s">
        <v>2190</v>
      </c>
      <c r="B4" t="s">
        <v>2256</v>
      </c>
      <c r="C4" t="s">
        <v>2257</v>
      </c>
      <c r="D4" t="s">
        <v>2258</v>
      </c>
      <c r="E4" t="s">
        <v>1228</v>
      </c>
      <c r="F4" t="s">
        <v>2259</v>
      </c>
    </row>
    <row r="5" spans="1:6" x14ac:dyDescent="0.35">
      <c r="A5" t="s">
        <v>2191</v>
      </c>
      <c r="B5" t="s">
        <v>2260</v>
      </c>
      <c r="C5" t="s">
        <v>2261</v>
      </c>
      <c r="D5" t="s">
        <v>2262</v>
      </c>
      <c r="E5" t="s">
        <v>1228</v>
      </c>
      <c r="F5" t="s">
        <v>2263</v>
      </c>
    </row>
    <row r="6" spans="1:6" x14ac:dyDescent="0.35">
      <c r="A6" t="s">
        <v>2192</v>
      </c>
      <c r="B6" t="s">
        <v>2264</v>
      </c>
      <c r="C6" t="s">
        <v>2265</v>
      </c>
      <c r="D6" t="s">
        <v>2266</v>
      </c>
      <c r="E6" t="s">
        <v>1228</v>
      </c>
      <c r="F6" t="s">
        <v>2267</v>
      </c>
    </row>
    <row r="7" spans="1:6" x14ac:dyDescent="0.35">
      <c r="A7" t="s">
        <v>2193</v>
      </c>
      <c r="B7" t="s">
        <v>2268</v>
      </c>
      <c r="C7" t="s">
        <v>2269</v>
      </c>
      <c r="D7" t="s">
        <v>2270</v>
      </c>
      <c r="E7" t="s">
        <v>1228</v>
      </c>
      <c r="F7" t="s">
        <v>2271</v>
      </c>
    </row>
    <row r="8" spans="1:6" x14ac:dyDescent="0.35">
      <c r="A8" t="s">
        <v>2194</v>
      </c>
      <c r="B8" t="s">
        <v>2272</v>
      </c>
      <c r="C8" t="s">
        <v>2273</v>
      </c>
      <c r="D8" t="s">
        <v>2274</v>
      </c>
      <c r="E8" t="s">
        <v>1228</v>
      </c>
      <c r="F8" t="s">
        <v>2275</v>
      </c>
    </row>
    <row r="9" spans="1:6" x14ac:dyDescent="0.35">
      <c r="A9" t="s">
        <v>2195</v>
      </c>
      <c r="B9" t="s">
        <v>2276</v>
      </c>
      <c r="C9" t="s">
        <v>2277</v>
      </c>
      <c r="D9" t="s">
        <v>2278</v>
      </c>
      <c r="E9" t="s">
        <v>1228</v>
      </c>
      <c r="F9" t="s">
        <v>2279</v>
      </c>
    </row>
    <row r="10" spans="1:6" x14ac:dyDescent="0.35">
      <c r="A10" t="s">
        <v>2196</v>
      </c>
      <c r="B10" t="s">
        <v>2280</v>
      </c>
      <c r="C10" t="s">
        <v>2281</v>
      </c>
      <c r="D10" t="s">
        <v>2282</v>
      </c>
      <c r="E10" t="s">
        <v>1228</v>
      </c>
      <c r="F10" t="s">
        <v>2283</v>
      </c>
    </row>
    <row r="11" spans="1:6" x14ac:dyDescent="0.35">
      <c r="A11" t="s">
        <v>2197</v>
      </c>
      <c r="B11" t="s">
        <v>2284</v>
      </c>
      <c r="C11" t="s">
        <v>2285</v>
      </c>
      <c r="D11" t="s">
        <v>2286</v>
      </c>
      <c r="E11" t="s">
        <v>1228</v>
      </c>
      <c r="F11" t="s">
        <v>2287</v>
      </c>
    </row>
    <row r="12" spans="1:6" x14ac:dyDescent="0.35">
      <c r="A12" t="s">
        <v>2198</v>
      </c>
      <c r="B12" t="s">
        <v>2288</v>
      </c>
      <c r="C12" t="s">
        <v>2289</v>
      </c>
      <c r="D12" t="s">
        <v>2290</v>
      </c>
      <c r="E12" t="s">
        <v>1228</v>
      </c>
      <c r="F12" t="s">
        <v>2291</v>
      </c>
    </row>
    <row r="13" spans="1:6" x14ac:dyDescent="0.35">
      <c r="A13" t="s">
        <v>2199</v>
      </c>
      <c r="B13" t="s">
        <v>2292</v>
      </c>
      <c r="C13" t="s">
        <v>2293</v>
      </c>
      <c r="D13" t="s">
        <v>2294</v>
      </c>
      <c r="E13" t="s">
        <v>1228</v>
      </c>
      <c r="F13" t="s">
        <v>2295</v>
      </c>
    </row>
    <row r="14" spans="1:6" x14ac:dyDescent="0.35">
      <c r="A14" t="s">
        <v>2200</v>
      </c>
      <c r="B14" t="s">
        <v>2296</v>
      </c>
      <c r="C14" t="s">
        <v>2297</v>
      </c>
      <c r="D14" t="s">
        <v>2298</v>
      </c>
      <c r="E14" t="s">
        <v>1228</v>
      </c>
      <c r="F14" t="s">
        <v>2299</v>
      </c>
    </row>
    <row r="15" spans="1:6" x14ac:dyDescent="0.35">
      <c r="A15" t="s">
        <v>2201</v>
      </c>
      <c r="B15" t="s">
        <v>2300</v>
      </c>
      <c r="C15" t="s">
        <v>2301</v>
      </c>
      <c r="D15" t="s">
        <v>2302</v>
      </c>
      <c r="E15" t="s">
        <v>1228</v>
      </c>
      <c r="F15" t="s">
        <v>2303</v>
      </c>
    </row>
    <row r="16" spans="1:6" x14ac:dyDescent="0.35">
      <c r="A16" t="s">
        <v>2202</v>
      </c>
      <c r="B16" t="s">
        <v>2304</v>
      </c>
      <c r="C16" t="s">
        <v>2203</v>
      </c>
      <c r="D16" t="s">
        <v>2305</v>
      </c>
      <c r="E16" t="s">
        <v>1228</v>
      </c>
      <c r="F16" t="s">
        <v>2306</v>
      </c>
    </row>
    <row r="17" spans="1:6" x14ac:dyDescent="0.35">
      <c r="A17" t="s">
        <v>2204</v>
      </c>
      <c r="B17" t="s">
        <v>2307</v>
      </c>
      <c r="C17" t="s">
        <v>2308</v>
      </c>
      <c r="D17" t="s">
        <v>2309</v>
      </c>
      <c r="E17" t="s">
        <v>1228</v>
      </c>
      <c r="F17" t="s">
        <v>2310</v>
      </c>
    </row>
    <row r="18" spans="1:6" x14ac:dyDescent="0.35">
      <c r="A18" t="s">
        <v>2205</v>
      </c>
      <c r="B18" t="s">
        <v>2311</v>
      </c>
      <c r="C18" t="s">
        <v>2312</v>
      </c>
      <c r="D18" t="s">
        <v>2313</v>
      </c>
      <c r="E18" t="s">
        <v>1228</v>
      </c>
      <c r="F18" t="s">
        <v>2314</v>
      </c>
    </row>
    <row r="19" spans="1:6" x14ac:dyDescent="0.35">
      <c r="A19" t="s">
        <v>2206</v>
      </c>
      <c r="B19" t="s">
        <v>2315</v>
      </c>
      <c r="C19" t="s">
        <v>2316</v>
      </c>
      <c r="D19" t="s">
        <v>2317</v>
      </c>
      <c r="E19" t="s">
        <v>1228</v>
      </c>
      <c r="F19" t="s">
        <v>2318</v>
      </c>
    </row>
    <row r="20" spans="1:6" x14ac:dyDescent="0.35">
      <c r="A20" t="s">
        <v>2207</v>
      </c>
      <c r="B20" t="s">
        <v>2319</v>
      </c>
      <c r="C20" t="s">
        <v>2320</v>
      </c>
      <c r="D20" t="s">
        <v>2321</v>
      </c>
      <c r="E20" t="s">
        <v>1228</v>
      </c>
      <c r="F20" t="s">
        <v>2322</v>
      </c>
    </row>
    <row r="21" spans="1:6" x14ac:dyDescent="0.35">
      <c r="A21" t="s">
        <v>2208</v>
      </c>
      <c r="B21" t="s">
        <v>2323</v>
      </c>
      <c r="C21" t="s">
        <v>2324</v>
      </c>
      <c r="D21" t="s">
        <v>2325</v>
      </c>
      <c r="E21" t="s">
        <v>1228</v>
      </c>
      <c r="F21" t="s">
        <v>2326</v>
      </c>
    </row>
    <row r="22" spans="1:6" x14ac:dyDescent="0.35">
      <c r="A22" t="s">
        <v>2209</v>
      </c>
      <c r="B22" t="s">
        <v>2327</v>
      </c>
      <c r="C22" t="s">
        <v>2328</v>
      </c>
      <c r="D22" t="s">
        <v>2329</v>
      </c>
      <c r="E22" t="s">
        <v>1228</v>
      </c>
      <c r="F22" t="s">
        <v>2330</v>
      </c>
    </row>
    <row r="23" spans="1:6" x14ac:dyDescent="0.35">
      <c r="A23" t="s">
        <v>2210</v>
      </c>
      <c r="B23" t="s">
        <v>2331</v>
      </c>
      <c r="C23" t="s">
        <v>2332</v>
      </c>
      <c r="D23" t="s">
        <v>2333</v>
      </c>
      <c r="E23" t="s">
        <v>1228</v>
      </c>
      <c r="F23" t="s">
        <v>2334</v>
      </c>
    </row>
    <row r="24" spans="1:6" x14ac:dyDescent="0.35">
      <c r="A24" t="s">
        <v>2211</v>
      </c>
      <c r="B24" t="s">
        <v>2335</v>
      </c>
      <c r="C24" t="s">
        <v>2336</v>
      </c>
      <c r="D24" t="s">
        <v>2337</v>
      </c>
      <c r="E24" t="s">
        <v>1228</v>
      </c>
      <c r="F24" t="s">
        <v>2338</v>
      </c>
    </row>
    <row r="25" spans="1:6" x14ac:dyDescent="0.35">
      <c r="A25" t="s">
        <v>2212</v>
      </c>
      <c r="B25" t="s">
        <v>2339</v>
      </c>
      <c r="C25" t="s">
        <v>2340</v>
      </c>
      <c r="D25" t="s">
        <v>2341</v>
      </c>
      <c r="E25" t="s">
        <v>1228</v>
      </c>
      <c r="F25" t="s">
        <v>2342</v>
      </c>
    </row>
    <row r="26" spans="1:6" x14ac:dyDescent="0.35">
      <c r="A26" t="s">
        <v>2213</v>
      </c>
      <c r="B26" t="s">
        <v>2343</v>
      </c>
      <c r="C26" t="s">
        <v>2344</v>
      </c>
      <c r="D26" t="s">
        <v>2345</v>
      </c>
      <c r="E26" t="s">
        <v>1228</v>
      </c>
      <c r="F26" t="s">
        <v>2346</v>
      </c>
    </row>
    <row r="27" spans="1:6" x14ac:dyDescent="0.35">
      <c r="A27" t="s">
        <v>2214</v>
      </c>
      <c r="B27" t="s">
        <v>2347</v>
      </c>
      <c r="C27" t="s">
        <v>2348</v>
      </c>
      <c r="D27" t="s">
        <v>2349</v>
      </c>
      <c r="E27" t="s">
        <v>1228</v>
      </c>
      <c r="F27" t="s">
        <v>2350</v>
      </c>
    </row>
    <row r="28" spans="1:6" x14ac:dyDescent="0.35">
      <c r="A28" t="s">
        <v>1060</v>
      </c>
      <c r="B28" t="s">
        <v>2351</v>
      </c>
      <c r="C28" t="s">
        <v>2352</v>
      </c>
      <c r="D28" t="s">
        <v>2353</v>
      </c>
      <c r="E28" t="s">
        <v>1228</v>
      </c>
      <c r="F28" t="s">
        <v>2354</v>
      </c>
    </row>
    <row r="29" spans="1:6" x14ac:dyDescent="0.35">
      <c r="A29" t="s">
        <v>2215</v>
      </c>
      <c r="B29" t="s">
        <v>2355</v>
      </c>
      <c r="C29" t="s">
        <v>2356</v>
      </c>
      <c r="D29" t="s">
        <v>2357</v>
      </c>
      <c r="E29" t="s">
        <v>1228</v>
      </c>
      <c r="F29" t="s">
        <v>2358</v>
      </c>
    </row>
    <row r="30" spans="1:6" x14ac:dyDescent="0.35">
      <c r="A30" t="s">
        <v>2216</v>
      </c>
      <c r="B30" t="s">
        <v>2359</v>
      </c>
      <c r="C30" t="s">
        <v>2360</v>
      </c>
      <c r="D30" t="s">
        <v>2361</v>
      </c>
      <c r="E30" t="s">
        <v>1228</v>
      </c>
      <c r="F30" t="s">
        <v>2362</v>
      </c>
    </row>
    <row r="31" spans="1:6" x14ac:dyDescent="0.35">
      <c r="A31" t="s">
        <v>2217</v>
      </c>
      <c r="B31" t="s">
        <v>2363</v>
      </c>
      <c r="C31" t="s">
        <v>2364</v>
      </c>
      <c r="D31" t="s">
        <v>2365</v>
      </c>
      <c r="E31" t="s">
        <v>1228</v>
      </c>
      <c r="F31" t="s">
        <v>2366</v>
      </c>
    </row>
    <row r="32" spans="1:6" x14ac:dyDescent="0.35">
      <c r="A32" t="s">
        <v>2218</v>
      </c>
      <c r="B32" t="s">
        <v>2367</v>
      </c>
      <c r="C32" t="s">
        <v>2368</v>
      </c>
      <c r="D32" t="s">
        <v>2369</v>
      </c>
      <c r="E32" t="s">
        <v>1228</v>
      </c>
      <c r="F32" t="s">
        <v>2370</v>
      </c>
    </row>
    <row r="33" spans="1:6" x14ac:dyDescent="0.35">
      <c r="A33" t="s">
        <v>2219</v>
      </c>
      <c r="B33" t="s">
        <v>2371</v>
      </c>
      <c r="C33" t="s">
        <v>2372</v>
      </c>
      <c r="D33" t="s">
        <v>2373</v>
      </c>
      <c r="E33" t="s">
        <v>1228</v>
      </c>
      <c r="F33" t="s">
        <v>2374</v>
      </c>
    </row>
    <row r="34" spans="1:6" x14ac:dyDescent="0.35">
      <c r="A34" t="s">
        <v>2220</v>
      </c>
      <c r="B34" t="s">
        <v>2375</v>
      </c>
      <c r="C34" t="s">
        <v>2376</v>
      </c>
      <c r="D34" t="s">
        <v>2377</v>
      </c>
      <c r="E34" t="s">
        <v>1228</v>
      </c>
      <c r="F34" t="s">
        <v>2378</v>
      </c>
    </row>
    <row r="35" spans="1:6" x14ac:dyDescent="0.35">
      <c r="A35" t="s">
        <v>2221</v>
      </c>
      <c r="B35" t="s">
        <v>2379</v>
      </c>
      <c r="C35" t="s">
        <v>2380</v>
      </c>
      <c r="D35" t="s">
        <v>2381</v>
      </c>
      <c r="E35" t="s">
        <v>1228</v>
      </c>
      <c r="F35" t="s">
        <v>2382</v>
      </c>
    </row>
    <row r="36" spans="1:6" x14ac:dyDescent="0.35">
      <c r="A36" t="s">
        <v>2222</v>
      </c>
      <c r="B36" t="s">
        <v>2383</v>
      </c>
      <c r="C36" t="s">
        <v>2384</v>
      </c>
      <c r="D36" t="s">
        <v>2385</v>
      </c>
      <c r="E36" t="s">
        <v>1228</v>
      </c>
      <c r="F36" t="s">
        <v>2386</v>
      </c>
    </row>
    <row r="37" spans="1:6" x14ac:dyDescent="0.35">
      <c r="A37" t="s">
        <v>2223</v>
      </c>
      <c r="B37" t="s">
        <v>2387</v>
      </c>
      <c r="C37" t="s">
        <v>2388</v>
      </c>
      <c r="D37" t="s">
        <v>2389</v>
      </c>
      <c r="E37" t="s">
        <v>1228</v>
      </c>
      <c r="F37" t="s">
        <v>2390</v>
      </c>
    </row>
    <row r="38" spans="1:6" x14ac:dyDescent="0.35">
      <c r="A38" t="s">
        <v>2224</v>
      </c>
      <c r="B38" t="s">
        <v>2391</v>
      </c>
      <c r="C38" t="s">
        <v>2392</v>
      </c>
      <c r="D38" t="s">
        <v>2393</v>
      </c>
      <c r="E38" t="s">
        <v>1228</v>
      </c>
      <c r="F38" t="s">
        <v>2394</v>
      </c>
    </row>
    <row r="39" spans="1:6" x14ac:dyDescent="0.35">
      <c r="A39" t="s">
        <v>2225</v>
      </c>
      <c r="B39" t="s">
        <v>2395</v>
      </c>
      <c r="C39" t="s">
        <v>2396</v>
      </c>
      <c r="D39" t="s">
        <v>2397</v>
      </c>
      <c r="E39" t="s">
        <v>1228</v>
      </c>
      <c r="F39" t="s">
        <v>2398</v>
      </c>
    </row>
    <row r="40" spans="1:6" x14ac:dyDescent="0.35">
      <c r="A40" t="s">
        <v>2226</v>
      </c>
      <c r="B40" t="s">
        <v>2399</v>
      </c>
      <c r="C40" t="s">
        <v>2400</v>
      </c>
      <c r="D40" t="s">
        <v>2401</v>
      </c>
      <c r="E40" t="s">
        <v>1228</v>
      </c>
      <c r="F40" t="s">
        <v>2402</v>
      </c>
    </row>
    <row r="41" spans="1:6" x14ac:dyDescent="0.35">
      <c r="A41" t="s">
        <v>2227</v>
      </c>
      <c r="B41" t="s">
        <v>2403</v>
      </c>
      <c r="C41" t="s">
        <v>2404</v>
      </c>
      <c r="D41" t="s">
        <v>2405</v>
      </c>
      <c r="E41" t="s">
        <v>1228</v>
      </c>
      <c r="F41" t="s">
        <v>2406</v>
      </c>
    </row>
    <row r="42" spans="1:6" x14ac:dyDescent="0.35">
      <c r="A42" t="s">
        <v>2228</v>
      </c>
      <c r="B42" t="s">
        <v>2407</v>
      </c>
      <c r="C42" t="s">
        <v>2408</v>
      </c>
      <c r="D42" t="s">
        <v>2409</v>
      </c>
      <c r="E42" t="s">
        <v>1228</v>
      </c>
      <c r="F42" t="s">
        <v>2410</v>
      </c>
    </row>
    <row r="43" spans="1:6" x14ac:dyDescent="0.35">
      <c r="A43" t="s">
        <v>2229</v>
      </c>
      <c r="B43" t="s">
        <v>2411</v>
      </c>
      <c r="C43" t="s">
        <v>2412</v>
      </c>
      <c r="D43" t="s">
        <v>2413</v>
      </c>
      <c r="E43" t="s">
        <v>1228</v>
      </c>
      <c r="F43" t="s">
        <v>2414</v>
      </c>
    </row>
    <row r="44" spans="1:6" x14ac:dyDescent="0.35">
      <c r="A44" t="s">
        <v>2230</v>
      </c>
      <c r="B44" t="s">
        <v>2415</v>
      </c>
      <c r="C44" t="s">
        <v>2416</v>
      </c>
      <c r="D44" t="s">
        <v>2417</v>
      </c>
      <c r="E44" t="s">
        <v>1228</v>
      </c>
      <c r="F44" t="s">
        <v>2418</v>
      </c>
    </row>
    <row r="45" spans="1:6" x14ac:dyDescent="0.35">
      <c r="A45" t="s">
        <v>2231</v>
      </c>
      <c r="B45" t="s">
        <v>2419</v>
      </c>
      <c r="C45" t="s">
        <v>2420</v>
      </c>
      <c r="D45" t="s">
        <v>2421</v>
      </c>
      <c r="E45" t="s">
        <v>1228</v>
      </c>
      <c r="F45" t="s">
        <v>2422</v>
      </c>
    </row>
    <row r="46" spans="1:6" x14ac:dyDescent="0.35">
      <c r="A46" t="s">
        <v>2232</v>
      </c>
      <c r="B46" t="s">
        <v>2423</v>
      </c>
      <c r="C46" t="s">
        <v>2424</v>
      </c>
      <c r="D46" t="s">
        <v>2425</v>
      </c>
      <c r="E46" t="s">
        <v>1228</v>
      </c>
      <c r="F46" t="s">
        <v>2426</v>
      </c>
    </row>
    <row r="47" spans="1:6" x14ac:dyDescent="0.35">
      <c r="A47" t="s">
        <v>2233</v>
      </c>
      <c r="B47" t="s">
        <v>2427</v>
      </c>
      <c r="C47" t="s">
        <v>2428</v>
      </c>
      <c r="D47" t="s">
        <v>2429</v>
      </c>
      <c r="E47" t="s">
        <v>1228</v>
      </c>
      <c r="F47" t="s">
        <v>2430</v>
      </c>
    </row>
    <row r="48" spans="1:6" x14ac:dyDescent="0.35">
      <c r="A48" t="s">
        <v>2234</v>
      </c>
      <c r="B48" t="s">
        <v>2431</v>
      </c>
      <c r="C48" t="s">
        <v>2432</v>
      </c>
      <c r="D48" t="s">
        <v>2433</v>
      </c>
      <c r="E48" t="s">
        <v>1228</v>
      </c>
      <c r="F48" t="s">
        <v>2434</v>
      </c>
    </row>
    <row r="49" spans="1:6" x14ac:dyDescent="0.35">
      <c r="A49" t="s">
        <v>2235</v>
      </c>
      <c r="B49" t="s">
        <v>2435</v>
      </c>
      <c r="C49" t="s">
        <v>2436</v>
      </c>
      <c r="D49" t="s">
        <v>2437</v>
      </c>
      <c r="E49" t="s">
        <v>1228</v>
      </c>
      <c r="F49" t="s">
        <v>2438</v>
      </c>
    </row>
    <row r="50" spans="1:6" x14ac:dyDescent="0.35">
      <c r="A50" t="s">
        <v>2236</v>
      </c>
      <c r="B50" t="s">
        <v>2439</v>
      </c>
      <c r="C50" t="s">
        <v>2440</v>
      </c>
      <c r="D50" t="s">
        <v>2441</v>
      </c>
      <c r="E50" t="s">
        <v>1228</v>
      </c>
      <c r="F50" t="s">
        <v>2442</v>
      </c>
    </row>
    <row r="51" spans="1:6" x14ac:dyDescent="0.35">
      <c r="A51" t="s">
        <v>2237</v>
      </c>
      <c r="B51" t="s">
        <v>2443</v>
      </c>
      <c r="C51" t="s">
        <v>2444</v>
      </c>
      <c r="D51" t="s">
        <v>2445</v>
      </c>
      <c r="E51" t="s">
        <v>1228</v>
      </c>
      <c r="F51" t="s">
        <v>2446</v>
      </c>
    </row>
    <row r="52" spans="1:6" x14ac:dyDescent="0.35">
      <c r="A52" t="s">
        <v>2238</v>
      </c>
      <c r="B52" t="s">
        <v>2447</v>
      </c>
      <c r="C52" t="s">
        <v>2448</v>
      </c>
      <c r="D52" t="s">
        <v>2449</v>
      </c>
      <c r="E52" t="s">
        <v>1228</v>
      </c>
      <c r="F52" t="s">
        <v>2450</v>
      </c>
    </row>
    <row r="53" spans="1:6" x14ac:dyDescent="0.35">
      <c r="A53" t="s">
        <v>2239</v>
      </c>
      <c r="B53" t="s">
        <v>2451</v>
      </c>
      <c r="C53" t="s">
        <v>2452</v>
      </c>
      <c r="D53" t="s">
        <v>2453</v>
      </c>
      <c r="E53" t="s">
        <v>1228</v>
      </c>
      <c r="F53" t="s">
        <v>2454</v>
      </c>
    </row>
    <row r="54" spans="1:6" x14ac:dyDescent="0.35">
      <c r="A54" t="s">
        <v>2240</v>
      </c>
      <c r="B54" t="s">
        <v>2455</v>
      </c>
      <c r="C54" t="s">
        <v>2456</v>
      </c>
      <c r="D54" t="s">
        <v>2457</v>
      </c>
      <c r="E54" t="s">
        <v>1228</v>
      </c>
      <c r="F54" t="s">
        <v>2458</v>
      </c>
    </row>
    <row r="55" spans="1:6" x14ac:dyDescent="0.35">
      <c r="A55" t="s">
        <v>2241</v>
      </c>
      <c r="B55" t="s">
        <v>2459</v>
      </c>
      <c r="C55" t="s">
        <v>2460</v>
      </c>
      <c r="D55" t="s">
        <v>2461</v>
      </c>
      <c r="E55" t="s">
        <v>1228</v>
      </c>
      <c r="F55" t="s">
        <v>2462</v>
      </c>
    </row>
    <row r="56" spans="1:6" x14ac:dyDescent="0.35">
      <c r="A56" t="s">
        <v>2242</v>
      </c>
      <c r="B56" t="s">
        <v>2463</v>
      </c>
      <c r="C56" t="s">
        <v>2464</v>
      </c>
      <c r="D56" t="s">
        <v>2465</v>
      </c>
      <c r="E56" t="s">
        <v>1228</v>
      </c>
      <c r="F56" t="s">
        <v>2466</v>
      </c>
    </row>
    <row r="57" spans="1:6" x14ac:dyDescent="0.35">
      <c r="A57" t="s">
        <v>2243</v>
      </c>
      <c r="B57" t="s">
        <v>2467</v>
      </c>
      <c r="C57" t="s">
        <v>2468</v>
      </c>
      <c r="D57" t="s">
        <v>2469</v>
      </c>
      <c r="E57" t="s">
        <v>1228</v>
      </c>
      <c r="F57" t="s">
        <v>2470</v>
      </c>
    </row>
    <row r="58" spans="1:6" x14ac:dyDescent="0.35">
      <c r="A58" t="s">
        <v>2244</v>
      </c>
      <c r="B58" t="s">
        <v>2471</v>
      </c>
      <c r="C58" t="s">
        <v>2472</v>
      </c>
      <c r="D58" t="s">
        <v>2469</v>
      </c>
      <c r="E58" t="s">
        <v>1228</v>
      </c>
      <c r="F58" t="s">
        <v>2470</v>
      </c>
    </row>
    <row r="59" spans="1:6" x14ac:dyDescent="0.35">
      <c r="A59" t="s">
        <v>2245</v>
      </c>
      <c r="B59" t="s">
        <v>2473</v>
      </c>
      <c r="C59" t="s">
        <v>2474</v>
      </c>
      <c r="D59" t="s">
        <v>2475</v>
      </c>
      <c r="E59" t="s">
        <v>1228</v>
      </c>
      <c r="F59" t="s">
        <v>2476</v>
      </c>
    </row>
    <row r="60" spans="1:6" x14ac:dyDescent="0.35">
      <c r="A60" t="s">
        <v>2246</v>
      </c>
      <c r="B60" t="s">
        <v>2477</v>
      </c>
      <c r="C60" t="s">
        <v>2478</v>
      </c>
      <c r="D60" t="s">
        <v>2479</v>
      </c>
      <c r="E60" t="s">
        <v>1228</v>
      </c>
      <c r="F60" t="s">
        <v>2480</v>
      </c>
    </row>
    <row r="61" spans="1:6" x14ac:dyDescent="0.35">
      <c r="A61" t="s">
        <v>2247</v>
      </c>
      <c r="B61" t="s">
        <v>2481</v>
      </c>
      <c r="C61" t="s">
        <v>2482</v>
      </c>
      <c r="D61" t="s">
        <v>2483</v>
      </c>
      <c r="E61" t="s">
        <v>1228</v>
      </c>
      <c r="F61" t="s">
        <v>2484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CC7E-D731-41A1-857A-ABFC18EF3F93}">
  <dimension ref="A1:W107"/>
  <sheetViews>
    <sheetView zoomScale="85" zoomScaleNormal="85" workbookViewId="0">
      <pane ySplit="1" topLeftCell="A2" activePane="bottomLeft" state="frozen"/>
      <selection activeCell="E1" sqref="E1"/>
      <selection pane="bottomLeft" activeCell="G2" sqref="G2"/>
    </sheetView>
  </sheetViews>
  <sheetFormatPr defaultRowHeight="14.5" x14ac:dyDescent="0.35"/>
  <cols>
    <col min="1" max="1" width="32.54296875" customWidth="1"/>
    <col min="2" max="2" width="13" customWidth="1"/>
    <col min="3" max="3" width="79.81640625" style="25" customWidth="1"/>
    <col min="4" max="4" width="46.1796875" customWidth="1"/>
    <col min="5" max="5" width="17.08984375" customWidth="1"/>
    <col min="6" max="6" width="32.54296875" customWidth="1"/>
    <col min="7" max="7" width="73.1796875" customWidth="1"/>
    <col min="8" max="8" width="19" customWidth="1"/>
    <col min="9" max="9" width="15" customWidth="1"/>
    <col min="10" max="10" width="24.54296875" customWidth="1"/>
    <col min="11" max="12" width="19.453125" customWidth="1"/>
    <col min="13" max="16" width="16.90625" customWidth="1"/>
    <col min="17" max="18" width="15.6328125" style="20" customWidth="1"/>
    <col min="19" max="19" width="32.54296875" customWidth="1"/>
    <col min="20" max="20" width="37.26953125" customWidth="1"/>
  </cols>
  <sheetData>
    <row r="1" spans="1:23" s="26" customFormat="1" ht="43.5" x14ac:dyDescent="0.35">
      <c r="A1" s="26" t="s">
        <v>0</v>
      </c>
      <c r="B1" s="26" t="s">
        <v>1</v>
      </c>
      <c r="C1" s="27" t="s">
        <v>3</v>
      </c>
      <c r="D1" s="26" t="s">
        <v>3421</v>
      </c>
      <c r="E1" s="26" t="s">
        <v>4</v>
      </c>
      <c r="F1" s="26" t="s">
        <v>3416</v>
      </c>
      <c r="G1" s="26" t="s">
        <v>2</v>
      </c>
      <c r="H1" s="26" t="s">
        <v>2947</v>
      </c>
      <c r="I1" s="26" t="s">
        <v>2950</v>
      </c>
      <c r="J1" s="15" t="s">
        <v>2951</v>
      </c>
      <c r="K1" s="15" t="s">
        <v>3019</v>
      </c>
      <c r="L1" s="15" t="s">
        <v>3417</v>
      </c>
      <c r="M1" s="15" t="s">
        <v>3418</v>
      </c>
      <c r="N1" s="15" t="s">
        <v>3628</v>
      </c>
      <c r="O1" s="15" t="s">
        <v>3629</v>
      </c>
      <c r="P1" s="15" t="s">
        <v>3630</v>
      </c>
      <c r="Q1" s="26" t="s">
        <v>3415</v>
      </c>
      <c r="R1" s="26" t="s">
        <v>3296</v>
      </c>
      <c r="S1" s="28" t="s">
        <v>3242</v>
      </c>
      <c r="T1" s="29" t="s">
        <v>3219</v>
      </c>
      <c r="U1" s="29" t="s">
        <v>3217</v>
      </c>
      <c r="V1" s="29" t="s">
        <v>3247</v>
      </c>
      <c r="W1" s="26" t="s">
        <v>1</v>
      </c>
    </row>
    <row r="2" spans="1:23" ht="43.5" x14ac:dyDescent="0.35">
      <c r="A2" t="s">
        <v>3311</v>
      </c>
      <c r="B2" t="s">
        <v>1227</v>
      </c>
      <c r="C2" s="25" t="s">
        <v>3525</v>
      </c>
      <c r="D2" t="s">
        <v>3422</v>
      </c>
      <c r="E2">
        <v>2</v>
      </c>
      <c r="F2" t="s">
        <v>3312</v>
      </c>
      <c r="G2" t="str">
        <f>"modules/cybermancy/assets/icons/cybernetics/" &amp; F2 &amp; ".webp"</f>
        <v>modules/cybermancy/assets/icons/cybernetics/subdermal-nanoweave-mki.webp</v>
      </c>
      <c r="H2" t="str">
        <f>A2</f>
        <v>Subdermal Nanoweave MkI</v>
      </c>
      <c r="I2" t="s">
        <v>59</v>
      </c>
      <c r="J2" t="s">
        <v>38</v>
      </c>
      <c r="M2" s="20"/>
      <c r="N2" s="20"/>
      <c r="O2" s="20"/>
      <c r="P2" s="20"/>
      <c r="Q2" t="s">
        <v>3042</v>
      </c>
      <c r="R2" t="s">
        <v>3297</v>
      </c>
      <c r="S2" s="20" t="s">
        <v>3243</v>
      </c>
      <c r="T2" s="8" t="s">
        <v>3160</v>
      </c>
      <c r="U2" s="8" t="s">
        <v>3099</v>
      </c>
      <c r="V2" s="8"/>
      <c r="W2" t="s">
        <v>1227</v>
      </c>
    </row>
    <row r="3" spans="1:23" ht="43.5" x14ac:dyDescent="0.35">
      <c r="A3" t="s">
        <v>3058</v>
      </c>
      <c r="B3" t="s">
        <v>1227</v>
      </c>
      <c r="C3" s="25" t="s">
        <v>3526</v>
      </c>
      <c r="D3" t="s">
        <v>3423</v>
      </c>
      <c r="E3">
        <v>1</v>
      </c>
      <c r="F3" t="s">
        <v>3313</v>
      </c>
      <c r="G3" t="str">
        <f t="shared" ref="G3:G66" si="0">"modules/cybermancy/assets/icons/cybernetics/" &amp; F3 &amp; ".webp"</f>
        <v>modules/cybermancy/assets/icons/cybernetics/empathic-feedback-loop.webp</v>
      </c>
      <c r="H3" t="str">
        <f t="shared" ref="H3:H66" si="1">A3</f>
        <v>Empathic Feedback Loop</v>
      </c>
      <c r="I3" t="s">
        <v>37</v>
      </c>
      <c r="J3" t="s">
        <v>37</v>
      </c>
      <c r="L3">
        <v>1</v>
      </c>
      <c r="M3" s="20" t="s">
        <v>3419</v>
      </c>
      <c r="N3" s="20"/>
      <c r="O3" s="20"/>
      <c r="P3" s="20"/>
      <c r="Q3" t="s">
        <v>3048</v>
      </c>
      <c r="R3" t="s">
        <v>3298</v>
      </c>
      <c r="S3" s="20" t="s">
        <v>3244</v>
      </c>
      <c r="T3" s="8" t="s">
        <v>71</v>
      </c>
      <c r="U3" s="8" t="s">
        <v>3119</v>
      </c>
      <c r="V3" s="8"/>
      <c r="W3" t="s">
        <v>1227</v>
      </c>
    </row>
    <row r="4" spans="1:23" ht="43.5" x14ac:dyDescent="0.35">
      <c r="A4" t="s">
        <v>3059</v>
      </c>
      <c r="B4" t="s">
        <v>1227</v>
      </c>
      <c r="C4" s="25" t="s">
        <v>3527</v>
      </c>
      <c r="D4" t="s">
        <v>3424</v>
      </c>
      <c r="E4">
        <v>1</v>
      </c>
      <c r="F4" t="s">
        <v>3314</v>
      </c>
      <c r="G4" t="str">
        <f t="shared" si="0"/>
        <v>modules/cybermancy/assets/icons/cybernetics/cortisol-modulator.webp</v>
      </c>
      <c r="H4" t="str">
        <f t="shared" si="1"/>
        <v>Cortisol Modulator</v>
      </c>
      <c r="I4" t="s">
        <v>37</v>
      </c>
      <c r="J4" t="s">
        <v>37</v>
      </c>
      <c r="L4">
        <v>1</v>
      </c>
      <c r="M4" s="20" t="s">
        <v>3420</v>
      </c>
      <c r="N4" s="20"/>
      <c r="O4" s="20"/>
      <c r="P4" s="20"/>
      <c r="Q4" t="s">
        <v>3057</v>
      </c>
      <c r="R4" t="s">
        <v>3298</v>
      </c>
      <c r="S4" s="20" t="s">
        <v>3244</v>
      </c>
      <c r="T4" s="8" t="s">
        <v>3161</v>
      </c>
      <c r="U4" s="8" t="s">
        <v>3100</v>
      </c>
      <c r="V4" s="8"/>
      <c r="W4" t="s">
        <v>1227</v>
      </c>
    </row>
    <row r="5" spans="1:23" ht="58" x14ac:dyDescent="0.35">
      <c r="A5" t="s">
        <v>3060</v>
      </c>
      <c r="B5" t="s">
        <v>1227</v>
      </c>
      <c r="C5" s="25" t="s">
        <v>3528</v>
      </c>
      <c r="D5" t="s">
        <v>3425</v>
      </c>
      <c r="E5">
        <v>3</v>
      </c>
      <c r="F5" t="s">
        <v>3315</v>
      </c>
      <c r="G5" t="str">
        <f t="shared" si="0"/>
        <v>modules/cybermancy/assets/icons/cybernetics/reflex-loop-accelerator.webp</v>
      </c>
      <c r="H5" t="str">
        <f t="shared" si="1"/>
        <v>Reflex Loop Accelerator</v>
      </c>
      <c r="I5" t="s">
        <v>59</v>
      </c>
      <c r="J5" t="s">
        <v>37</v>
      </c>
      <c r="K5" t="s">
        <v>3020</v>
      </c>
      <c r="M5" s="20" t="s">
        <v>3419</v>
      </c>
      <c r="N5" s="20"/>
      <c r="O5" s="20"/>
      <c r="P5" s="20"/>
      <c r="Q5" t="s">
        <v>3047</v>
      </c>
      <c r="R5" t="s">
        <v>3299</v>
      </c>
      <c r="S5" s="20" t="s">
        <v>3243</v>
      </c>
      <c r="T5" s="8" t="s">
        <v>3162</v>
      </c>
      <c r="U5" s="8" t="s">
        <v>3101</v>
      </c>
      <c r="V5" s="8"/>
      <c r="W5" t="s">
        <v>1227</v>
      </c>
    </row>
    <row r="6" spans="1:23" ht="58" x14ac:dyDescent="0.35">
      <c r="A6" t="s">
        <v>3061</v>
      </c>
      <c r="B6" t="s">
        <v>1227</v>
      </c>
      <c r="C6" s="25" t="s">
        <v>3529</v>
      </c>
      <c r="D6" t="s">
        <v>3426</v>
      </c>
      <c r="E6">
        <v>1</v>
      </c>
      <c r="F6" t="s">
        <v>3316</v>
      </c>
      <c r="G6" t="str">
        <f t="shared" si="0"/>
        <v>modules/cybermancy/assets/icons/cybernetics/predictive-motion-processor.webp</v>
      </c>
      <c r="H6" t="str">
        <f t="shared" si="1"/>
        <v>Predictive Motion Processor</v>
      </c>
      <c r="I6" t="s">
        <v>59</v>
      </c>
      <c r="J6" t="s">
        <v>37</v>
      </c>
      <c r="K6" t="s">
        <v>3023</v>
      </c>
      <c r="M6" s="20"/>
      <c r="N6" s="20"/>
      <c r="O6" s="20"/>
      <c r="P6" s="20"/>
      <c r="Q6" t="s">
        <v>3047</v>
      </c>
      <c r="R6" t="s">
        <v>3298</v>
      </c>
      <c r="S6" s="20" t="s">
        <v>3244</v>
      </c>
      <c r="T6" s="8" t="s">
        <v>3163</v>
      </c>
      <c r="U6" s="8" t="s">
        <v>3102</v>
      </c>
      <c r="V6" s="8"/>
      <c r="W6" t="s">
        <v>1227</v>
      </c>
    </row>
    <row r="7" spans="1:23" ht="43.5" x14ac:dyDescent="0.35">
      <c r="A7" t="s">
        <v>3062</v>
      </c>
      <c r="B7" t="s">
        <v>1227</v>
      </c>
      <c r="C7" s="25" t="s">
        <v>3530</v>
      </c>
      <c r="D7" t="s">
        <v>3427</v>
      </c>
      <c r="E7">
        <v>2</v>
      </c>
      <c r="F7" t="s">
        <v>3317</v>
      </c>
      <c r="G7" t="str">
        <f t="shared" si="0"/>
        <v>modules/cybermancy/assets/icons/cybernetics/cognitive-overclock-node.webp</v>
      </c>
      <c r="H7" t="str">
        <f t="shared" si="1"/>
        <v>Cognitive Overclock Node</v>
      </c>
      <c r="I7" t="s">
        <v>59</v>
      </c>
      <c r="J7" t="s">
        <v>37</v>
      </c>
      <c r="K7" t="s">
        <v>3023</v>
      </c>
      <c r="M7" s="20" t="s">
        <v>3420</v>
      </c>
      <c r="N7" s="20"/>
      <c r="O7" s="20"/>
      <c r="P7" s="20"/>
      <c r="Q7" t="s">
        <v>3048</v>
      </c>
      <c r="R7" t="s">
        <v>3297</v>
      </c>
      <c r="S7" s="20" t="s">
        <v>3244</v>
      </c>
      <c r="T7" s="8" t="s">
        <v>3164</v>
      </c>
      <c r="U7" s="8" t="s">
        <v>3120</v>
      </c>
      <c r="V7" s="8"/>
      <c r="W7" t="s">
        <v>1227</v>
      </c>
    </row>
    <row r="8" spans="1:23" ht="58" x14ac:dyDescent="0.35">
      <c r="A8" t="s">
        <v>3262</v>
      </c>
      <c r="B8" t="s">
        <v>1227</v>
      </c>
      <c r="C8" s="25" t="s">
        <v>3531</v>
      </c>
      <c r="D8" t="s">
        <v>3428</v>
      </c>
      <c r="E8">
        <v>2</v>
      </c>
      <c r="F8" t="s">
        <v>3376</v>
      </c>
      <c r="G8" t="str">
        <f t="shared" si="0"/>
        <v>modules/cybermancy/assets/icons/cybernetics/smartlink-targeting-reticle-implant.webp</v>
      </c>
      <c r="H8" t="str">
        <f t="shared" si="1"/>
        <v>SmartLink™ Targeting Reticle Implant</v>
      </c>
      <c r="I8" t="s">
        <v>59</v>
      </c>
      <c r="J8" t="s">
        <v>38</v>
      </c>
      <c r="M8" s="20"/>
      <c r="N8" s="20"/>
      <c r="O8" s="20"/>
      <c r="P8" s="20"/>
      <c r="Q8" t="s">
        <v>3053</v>
      </c>
      <c r="R8" t="s">
        <v>3300</v>
      </c>
      <c r="S8" s="20" t="s">
        <v>3244</v>
      </c>
      <c r="T8" s="8" t="s">
        <v>3167</v>
      </c>
      <c r="U8" s="8" t="s">
        <v>3103</v>
      </c>
      <c r="V8" s="8"/>
      <c r="W8" t="s">
        <v>1227</v>
      </c>
    </row>
    <row r="9" spans="1:23" ht="72.5" x14ac:dyDescent="0.35">
      <c r="A9" t="s">
        <v>3257</v>
      </c>
      <c r="B9" t="s">
        <v>1227</v>
      </c>
      <c r="C9" s="25" t="s">
        <v>3532</v>
      </c>
      <c r="D9" t="s">
        <v>3429</v>
      </c>
      <c r="E9">
        <v>1</v>
      </c>
      <c r="F9" t="s">
        <v>3377</v>
      </c>
      <c r="G9" t="str">
        <f t="shared" si="0"/>
        <v>modules/cybermancy/assets/icons/cybernetics/brainiac-cpu-implant.webp</v>
      </c>
      <c r="H9" t="str">
        <f t="shared" si="1"/>
        <v>Brainiac™ CPU Implant</v>
      </c>
      <c r="I9" t="s">
        <v>59</v>
      </c>
      <c r="J9" t="s">
        <v>37</v>
      </c>
      <c r="K9" t="s">
        <v>3023</v>
      </c>
      <c r="M9" s="20" t="s">
        <v>3420</v>
      </c>
      <c r="N9" s="20"/>
      <c r="O9" s="20"/>
      <c r="P9" s="20"/>
      <c r="Q9" t="s">
        <v>3048</v>
      </c>
      <c r="R9" t="s">
        <v>3299</v>
      </c>
      <c r="S9" s="20"/>
      <c r="T9" s="8"/>
      <c r="U9" s="8"/>
      <c r="V9" s="8"/>
    </row>
    <row r="10" spans="1:23" ht="43.5" x14ac:dyDescent="0.35">
      <c r="A10" t="s">
        <v>3253</v>
      </c>
      <c r="B10" t="s">
        <v>1227</v>
      </c>
      <c r="C10" s="25" t="s">
        <v>3533</v>
      </c>
      <c r="D10" t="s">
        <v>3430</v>
      </c>
      <c r="E10">
        <v>1</v>
      </c>
      <c r="F10" t="s">
        <v>3378</v>
      </c>
      <c r="G10" t="str">
        <f t="shared" si="0"/>
        <v>modules/cybermancy/assets/icons/cybernetics/smartlink-cpu-implant.webp</v>
      </c>
      <c r="H10" t="str">
        <f t="shared" si="1"/>
        <v>SmartLink™ CPU Implant</v>
      </c>
      <c r="I10" t="s">
        <v>59</v>
      </c>
      <c r="J10" t="s">
        <v>37</v>
      </c>
      <c r="K10" t="s">
        <v>3023</v>
      </c>
      <c r="M10" s="20"/>
      <c r="N10" s="20"/>
      <c r="O10" s="20"/>
      <c r="P10" s="20"/>
      <c r="Q10" t="s">
        <v>3048</v>
      </c>
      <c r="R10" t="s">
        <v>3301</v>
      </c>
      <c r="S10" s="20" t="s">
        <v>3244</v>
      </c>
      <c r="T10" s="8" t="s">
        <v>3251</v>
      </c>
      <c r="U10" s="8"/>
      <c r="V10" s="8"/>
    </row>
    <row r="11" spans="1:23" ht="58" x14ac:dyDescent="0.35">
      <c r="A11" t="s">
        <v>3063</v>
      </c>
      <c r="B11" t="s">
        <v>1227</v>
      </c>
      <c r="C11" s="25" t="s">
        <v>3534</v>
      </c>
      <c r="D11" t="s">
        <v>3431</v>
      </c>
      <c r="E11">
        <v>1</v>
      </c>
      <c r="F11" t="s">
        <v>3318</v>
      </c>
      <c r="G11" t="str">
        <f t="shared" si="0"/>
        <v>modules/cybermancy/assets/icons/cybernetics/gyroscopic-stabilizer-frame.webp</v>
      </c>
      <c r="H11" t="str">
        <f t="shared" si="1"/>
        <v>Gyroscopic Stabilizer Frame</v>
      </c>
      <c r="I11" t="s">
        <v>59</v>
      </c>
      <c r="J11" t="s">
        <v>37</v>
      </c>
      <c r="K11" t="s">
        <v>3020</v>
      </c>
      <c r="M11" s="20" t="s">
        <v>3252</v>
      </c>
      <c r="N11" s="20"/>
      <c r="O11" s="20"/>
      <c r="P11" s="20"/>
      <c r="Q11" t="s">
        <v>3234</v>
      </c>
      <c r="R11" t="s">
        <v>3299</v>
      </c>
      <c r="S11" s="20" t="s">
        <v>3244</v>
      </c>
      <c r="T11" s="8" t="s">
        <v>3168</v>
      </c>
      <c r="U11" s="8" t="s">
        <v>3104</v>
      </c>
      <c r="V11" s="8"/>
      <c r="W11" t="s">
        <v>1227</v>
      </c>
    </row>
    <row r="12" spans="1:23" ht="58" x14ac:dyDescent="0.35">
      <c r="A12" t="s">
        <v>3064</v>
      </c>
      <c r="B12" t="s">
        <v>1227</v>
      </c>
      <c r="C12" s="30" t="s">
        <v>3535</v>
      </c>
      <c r="D12" t="s">
        <v>3432</v>
      </c>
      <c r="E12">
        <v>2</v>
      </c>
      <c r="F12" t="s">
        <v>3319</v>
      </c>
      <c r="G12" t="str">
        <f t="shared" si="0"/>
        <v>modules/cybermancy/assets/icons/cybernetics/vox-resonance-enhancer.webp</v>
      </c>
      <c r="H12" t="str">
        <f t="shared" si="1"/>
        <v>Vox Resonance Enhancer</v>
      </c>
      <c r="I12" t="s">
        <v>59</v>
      </c>
      <c r="J12" t="s">
        <v>37</v>
      </c>
      <c r="K12" t="s">
        <v>3023</v>
      </c>
      <c r="M12" s="20" t="s">
        <v>3252</v>
      </c>
      <c r="N12" s="20"/>
      <c r="O12" s="20"/>
      <c r="P12" s="20"/>
      <c r="Q12" t="s">
        <v>3235</v>
      </c>
      <c r="R12" t="s">
        <v>3302</v>
      </c>
      <c r="S12" s="20" t="s">
        <v>3244</v>
      </c>
      <c r="T12" s="8" t="s">
        <v>3169</v>
      </c>
      <c r="U12" s="8" t="s">
        <v>3123</v>
      </c>
      <c r="V12" s="8"/>
      <c r="W12" t="s">
        <v>1227</v>
      </c>
    </row>
    <row r="13" spans="1:23" ht="43.5" x14ac:dyDescent="0.35">
      <c r="A13" t="s">
        <v>3255</v>
      </c>
      <c r="B13" t="s">
        <v>1227</v>
      </c>
      <c r="C13" s="25" t="s">
        <v>3536</v>
      </c>
      <c r="D13" t="s">
        <v>3433</v>
      </c>
      <c r="E13">
        <v>1</v>
      </c>
      <c r="F13" t="s">
        <v>3379</v>
      </c>
      <c r="G13" t="str">
        <f t="shared" si="0"/>
        <v>modules/cybermancy/assets/icons/cybernetics/cyberarm-base-unit.webp</v>
      </c>
      <c r="H13" t="str">
        <f t="shared" si="1"/>
        <v>Cyberarm™ Base Unit</v>
      </c>
      <c r="I13" t="s">
        <v>59</v>
      </c>
      <c r="J13" t="s">
        <v>37</v>
      </c>
      <c r="K13" t="s">
        <v>3023</v>
      </c>
      <c r="M13" s="20" t="s">
        <v>3420</v>
      </c>
      <c r="N13" s="20"/>
      <c r="O13" s="20"/>
      <c r="P13" s="20"/>
      <c r="Q13" t="s">
        <v>3043</v>
      </c>
      <c r="R13" t="s">
        <v>3302</v>
      </c>
      <c r="S13" s="20" t="s">
        <v>3244</v>
      </c>
      <c r="T13" s="8"/>
      <c r="U13" s="8"/>
      <c r="V13" s="8"/>
    </row>
    <row r="14" spans="1:23" ht="58" x14ac:dyDescent="0.35">
      <c r="A14" t="s">
        <v>3254</v>
      </c>
      <c r="B14" t="s">
        <v>1227</v>
      </c>
      <c r="C14" s="25" t="s">
        <v>3537</v>
      </c>
      <c r="D14" t="s">
        <v>3434</v>
      </c>
      <c r="E14">
        <v>1</v>
      </c>
      <c r="F14" t="s">
        <v>3380</v>
      </c>
      <c r="G14" t="str">
        <f t="shared" si="0"/>
        <v>modules/cybermancy/assets/icons/cybernetics/cyberarm-hydraulic-actuator.webp</v>
      </c>
      <c r="H14" t="str">
        <f t="shared" si="1"/>
        <v>Cyberarm™ Hydraulic Actuator</v>
      </c>
      <c r="I14" t="s">
        <v>59</v>
      </c>
      <c r="J14" t="s">
        <v>37</v>
      </c>
      <c r="K14" t="s">
        <v>3023</v>
      </c>
      <c r="M14" s="20" t="s">
        <v>3419</v>
      </c>
      <c r="N14" s="20"/>
      <c r="O14" s="20"/>
      <c r="P14" s="20"/>
      <c r="Q14" t="s">
        <v>3043</v>
      </c>
      <c r="R14" t="s">
        <v>3302</v>
      </c>
      <c r="S14" s="20" t="s">
        <v>3244</v>
      </c>
      <c r="T14" s="8" t="s">
        <v>3170</v>
      </c>
      <c r="U14" s="8" t="s">
        <v>3124</v>
      </c>
      <c r="V14" s="8"/>
      <c r="W14" t="s">
        <v>1227</v>
      </c>
    </row>
    <row r="15" spans="1:23" ht="72.5" x14ac:dyDescent="0.35">
      <c r="A15" t="s">
        <v>3256</v>
      </c>
      <c r="B15" t="s">
        <v>1227</v>
      </c>
      <c r="C15" s="25" t="s">
        <v>3538</v>
      </c>
      <c r="D15" t="s">
        <v>3435</v>
      </c>
      <c r="E15">
        <v>3</v>
      </c>
      <c r="F15" t="s">
        <v>3381</v>
      </c>
      <c r="G15" t="str">
        <f t="shared" si="0"/>
        <v>modules/cybermancy/assets/icons/cybernetics/smartlink-weapon-mount.webp</v>
      </c>
      <c r="H15" t="str">
        <f t="shared" si="1"/>
        <v>SmartLink™ Weapon Mount</v>
      </c>
      <c r="I15" t="s">
        <v>59</v>
      </c>
      <c r="J15" t="s">
        <v>38</v>
      </c>
      <c r="M15" s="20"/>
      <c r="N15" s="20"/>
      <c r="O15" s="20"/>
      <c r="P15" s="20"/>
      <c r="Q15" t="s">
        <v>3043</v>
      </c>
      <c r="R15" t="s">
        <v>3302</v>
      </c>
      <c r="S15" s="20" t="s">
        <v>3244</v>
      </c>
      <c r="T15" s="8" t="s">
        <v>3171</v>
      </c>
      <c r="U15" s="8" t="s">
        <v>3125</v>
      </c>
      <c r="V15" s="8"/>
      <c r="W15" t="s">
        <v>1227</v>
      </c>
    </row>
    <row r="16" spans="1:23" ht="58" x14ac:dyDescent="0.35">
      <c r="A16" t="s">
        <v>3065</v>
      </c>
      <c r="B16" t="s">
        <v>1227</v>
      </c>
      <c r="C16" s="25" t="s">
        <v>3539</v>
      </c>
      <c r="D16" t="s">
        <v>3436</v>
      </c>
      <c r="E16">
        <v>3</v>
      </c>
      <c r="F16" t="s">
        <v>3320</v>
      </c>
      <c r="G16" t="str">
        <f t="shared" si="0"/>
        <v>modules/cybermancy/assets/icons/cybernetics/combat-reflex-core.webp</v>
      </c>
      <c r="H16" t="str">
        <f t="shared" si="1"/>
        <v>Combat Reflex Core</v>
      </c>
      <c r="I16" t="s">
        <v>59</v>
      </c>
      <c r="J16" t="s">
        <v>38</v>
      </c>
      <c r="M16" s="20"/>
      <c r="N16" s="20"/>
      <c r="O16" s="20"/>
      <c r="P16" s="20"/>
      <c r="Q16" t="s">
        <v>3047</v>
      </c>
      <c r="R16" t="s">
        <v>3298</v>
      </c>
      <c r="S16" s="20" t="s">
        <v>3243</v>
      </c>
      <c r="T16" s="8" t="s">
        <v>3172</v>
      </c>
      <c r="U16" s="8" t="s">
        <v>3126</v>
      </c>
      <c r="V16" s="8"/>
      <c r="W16" t="s">
        <v>1227</v>
      </c>
    </row>
    <row r="17" spans="1:23" ht="58" x14ac:dyDescent="0.35">
      <c r="A17" t="s">
        <v>3066</v>
      </c>
      <c r="B17" t="s">
        <v>1227</v>
      </c>
      <c r="C17" s="25" t="s">
        <v>3540</v>
      </c>
      <c r="D17" t="s">
        <v>3437</v>
      </c>
      <c r="E17">
        <v>4</v>
      </c>
      <c r="F17" t="s">
        <v>3321</v>
      </c>
      <c r="G17" t="str">
        <f t="shared" si="0"/>
        <v>modules/cybermancy/assets/icons/cybernetics/thaumic-nullifier-implant.webp</v>
      </c>
      <c r="H17" t="str">
        <f t="shared" si="1"/>
        <v>Thaumic Nullifier Implant</v>
      </c>
      <c r="I17" t="s">
        <v>59</v>
      </c>
      <c r="J17" t="s">
        <v>39</v>
      </c>
      <c r="K17" t="s">
        <v>3031</v>
      </c>
      <c r="M17" s="20" t="s">
        <v>3420</v>
      </c>
      <c r="N17" s="20"/>
      <c r="O17" s="20"/>
      <c r="P17" s="20"/>
      <c r="Q17" t="s">
        <v>3236</v>
      </c>
      <c r="R17" t="s">
        <v>3302</v>
      </c>
      <c r="S17" s="20" t="s">
        <v>3245</v>
      </c>
      <c r="T17" s="8" t="s">
        <v>3173</v>
      </c>
      <c r="U17" s="8" t="s">
        <v>3105</v>
      </c>
      <c r="V17" s="8"/>
      <c r="W17" t="s">
        <v>1227</v>
      </c>
    </row>
    <row r="18" spans="1:23" ht="58" x14ac:dyDescent="0.35">
      <c r="A18" t="s">
        <v>3067</v>
      </c>
      <c r="B18" t="s">
        <v>1227</v>
      </c>
      <c r="C18" s="25" t="s">
        <v>3541</v>
      </c>
      <c r="D18" t="s">
        <v>3438</v>
      </c>
      <c r="E18">
        <v>4</v>
      </c>
      <c r="F18" t="s">
        <v>3322</v>
      </c>
      <c r="G18" t="str">
        <f t="shared" si="0"/>
        <v>modules/cybermancy/assets/icons/cybernetics/kinetic-absorber-matrix.webp</v>
      </c>
      <c r="H18" t="str">
        <f t="shared" si="1"/>
        <v>Kinetic Absorber Matrix</v>
      </c>
      <c r="I18" t="s">
        <v>59</v>
      </c>
      <c r="J18" t="s">
        <v>39</v>
      </c>
      <c r="K18" t="s">
        <v>3031</v>
      </c>
      <c r="M18" s="20" t="s">
        <v>3420</v>
      </c>
      <c r="N18" s="20"/>
      <c r="O18" s="20"/>
      <c r="P18" s="20"/>
      <c r="Q18" t="s">
        <v>3237</v>
      </c>
      <c r="R18" t="s">
        <v>3303</v>
      </c>
      <c r="S18" s="20" t="s">
        <v>3245</v>
      </c>
      <c r="T18" s="8" t="s">
        <v>3174</v>
      </c>
      <c r="U18" s="8" t="s">
        <v>3106</v>
      </c>
      <c r="V18" s="8"/>
      <c r="W18" t="s">
        <v>1227</v>
      </c>
    </row>
    <row r="19" spans="1:23" ht="87" x14ac:dyDescent="0.35">
      <c r="A19" t="s">
        <v>3068</v>
      </c>
      <c r="B19" t="s">
        <v>1227</v>
      </c>
      <c r="C19" s="25" t="s">
        <v>3542</v>
      </c>
      <c r="D19" t="s">
        <v>3439</v>
      </c>
      <c r="E19">
        <v>2</v>
      </c>
      <c r="F19" t="s">
        <v>3323</v>
      </c>
      <c r="G19" t="str">
        <f t="shared" si="0"/>
        <v>modules/cybermancy/assets/icons/cybernetics/reactive-gel-layer.webp</v>
      </c>
      <c r="H19" t="str">
        <f t="shared" si="1"/>
        <v>Reactive Gel Layer</v>
      </c>
      <c r="I19" t="s">
        <v>59</v>
      </c>
      <c r="J19" t="s">
        <v>37</v>
      </c>
      <c r="K19" t="s">
        <v>3023</v>
      </c>
      <c r="M19" s="20" t="s">
        <v>3252</v>
      </c>
      <c r="N19" s="20"/>
      <c r="O19" s="20"/>
      <c r="P19" s="20"/>
      <c r="Q19" t="s">
        <v>3042</v>
      </c>
      <c r="R19" t="s">
        <v>3297</v>
      </c>
      <c r="S19" s="20" t="s">
        <v>3243</v>
      </c>
      <c r="T19" s="8" t="s">
        <v>3175</v>
      </c>
      <c r="U19" s="8" t="s">
        <v>3127</v>
      </c>
      <c r="V19" s="8"/>
      <c r="W19" t="s">
        <v>1227</v>
      </c>
    </row>
    <row r="20" spans="1:23" ht="58" x14ac:dyDescent="0.35">
      <c r="A20" t="s">
        <v>3069</v>
      </c>
      <c r="B20" t="s">
        <v>1227</v>
      </c>
      <c r="C20" s="25" t="s">
        <v>3543</v>
      </c>
      <c r="D20" t="s">
        <v>3440</v>
      </c>
      <c r="E20">
        <v>2</v>
      </c>
      <c r="F20" t="s">
        <v>3324</v>
      </c>
      <c r="G20" t="str">
        <f t="shared" si="0"/>
        <v>modules/cybermancy/assets/icons/cybernetics/etheric-dampening-core.webp</v>
      </c>
      <c r="H20" t="str">
        <f t="shared" si="1"/>
        <v>Etheric Dampening Core</v>
      </c>
      <c r="I20" t="s">
        <v>59</v>
      </c>
      <c r="J20" t="s">
        <v>38</v>
      </c>
      <c r="M20" s="20"/>
      <c r="N20" s="20"/>
      <c r="O20" s="20"/>
      <c r="P20" s="20"/>
      <c r="Q20" t="s">
        <v>3236</v>
      </c>
      <c r="R20" t="s">
        <v>3301</v>
      </c>
      <c r="S20" s="20" t="s">
        <v>3244</v>
      </c>
      <c r="T20" s="8" t="s">
        <v>3176</v>
      </c>
      <c r="U20" s="8" t="s">
        <v>3107</v>
      </c>
      <c r="V20" s="8"/>
      <c r="W20" t="s">
        <v>1227</v>
      </c>
    </row>
    <row r="21" spans="1:23" ht="58" x14ac:dyDescent="0.35">
      <c r="A21" t="s">
        <v>3070</v>
      </c>
      <c r="B21" t="s">
        <v>1227</v>
      </c>
      <c r="C21" s="25" t="s">
        <v>3544</v>
      </c>
      <c r="D21" t="s">
        <v>3441</v>
      </c>
      <c r="E21">
        <v>2</v>
      </c>
      <c r="F21" t="s">
        <v>3325</v>
      </c>
      <c r="G21" t="str">
        <f t="shared" si="0"/>
        <v>modules/cybermancy/assets/icons/cybernetics/shock-dispersion-skeleton.webp</v>
      </c>
      <c r="H21" t="str">
        <f t="shared" si="1"/>
        <v>Shock-Dispersion Skeleton</v>
      </c>
      <c r="I21" t="s">
        <v>59</v>
      </c>
      <c r="J21" t="s">
        <v>38</v>
      </c>
      <c r="M21" s="20"/>
      <c r="N21" s="20"/>
      <c r="O21" s="20"/>
      <c r="P21" s="20"/>
      <c r="Q21" t="s">
        <v>3237</v>
      </c>
      <c r="R21" t="s">
        <v>3298</v>
      </c>
      <c r="S21" s="20" t="s">
        <v>3244</v>
      </c>
      <c r="T21" s="8" t="s">
        <v>3177</v>
      </c>
      <c r="U21" s="8" t="s">
        <v>3108</v>
      </c>
      <c r="V21" s="8"/>
      <c r="W21" t="s">
        <v>1227</v>
      </c>
    </row>
    <row r="22" spans="1:23" ht="72.5" x14ac:dyDescent="0.35">
      <c r="A22" t="s">
        <v>3071</v>
      </c>
      <c r="B22" t="s">
        <v>1227</v>
      </c>
      <c r="C22" s="25" t="s">
        <v>3545</v>
      </c>
      <c r="D22" t="s">
        <v>3442</v>
      </c>
      <c r="E22">
        <v>3</v>
      </c>
      <c r="F22" t="s">
        <v>3326</v>
      </c>
      <c r="G22" t="str">
        <f t="shared" si="0"/>
        <v>modules/cybermancy/assets/icons/cybernetics/phase-interference-skin.webp</v>
      </c>
      <c r="H22" t="str">
        <f t="shared" si="1"/>
        <v>Phase Interference Skin</v>
      </c>
      <c r="I22" t="s">
        <v>59</v>
      </c>
      <c r="J22" t="s">
        <v>39</v>
      </c>
      <c r="K22" t="s">
        <v>3024</v>
      </c>
      <c r="M22" s="20" t="s">
        <v>3420</v>
      </c>
      <c r="N22" s="20"/>
      <c r="O22" s="20"/>
      <c r="P22" s="20"/>
      <c r="Q22" t="s">
        <v>3042</v>
      </c>
      <c r="R22" t="s">
        <v>3297</v>
      </c>
      <c r="S22" s="20" t="s">
        <v>3243</v>
      </c>
      <c r="T22" s="8" t="s">
        <v>3178</v>
      </c>
      <c r="U22" s="8" t="s">
        <v>3109</v>
      </c>
      <c r="V22" s="8"/>
      <c r="W22" t="s">
        <v>1227</v>
      </c>
    </row>
    <row r="23" spans="1:23" ht="72.5" x14ac:dyDescent="0.35">
      <c r="A23" t="s">
        <v>3072</v>
      </c>
      <c r="B23" t="s">
        <v>1227</v>
      </c>
      <c r="C23" s="25" t="s">
        <v>3546</v>
      </c>
      <c r="D23" t="s">
        <v>3443</v>
      </c>
      <c r="E23">
        <v>3</v>
      </c>
      <c r="F23" t="s">
        <v>3327</v>
      </c>
      <c r="G23" t="str">
        <f t="shared" si="0"/>
        <v>modules/cybermancy/assets/icons/cybernetics/endosteel-frame.webp</v>
      </c>
      <c r="H23" t="str">
        <f t="shared" si="1"/>
        <v>Endosteel Frame</v>
      </c>
      <c r="I23" t="s">
        <v>59</v>
      </c>
      <c r="J23" t="s">
        <v>39</v>
      </c>
      <c r="K23" t="s">
        <v>3024</v>
      </c>
      <c r="M23" s="20" t="s">
        <v>3420</v>
      </c>
      <c r="N23" s="20"/>
      <c r="O23" s="20"/>
      <c r="P23" s="20"/>
      <c r="Q23" t="s">
        <v>3237</v>
      </c>
      <c r="R23" t="s">
        <v>3298</v>
      </c>
      <c r="S23" s="20" t="s">
        <v>3243</v>
      </c>
      <c r="T23" s="8" t="s">
        <v>3179</v>
      </c>
      <c r="U23" s="8" t="s">
        <v>3110</v>
      </c>
      <c r="V23" s="8"/>
      <c r="W23" t="s">
        <v>1227</v>
      </c>
    </row>
    <row r="24" spans="1:23" ht="58" x14ac:dyDescent="0.35">
      <c r="A24" t="s">
        <v>3073</v>
      </c>
      <c r="B24" t="s">
        <v>1227</v>
      </c>
      <c r="C24" s="25" t="s">
        <v>3547</v>
      </c>
      <c r="D24" t="s">
        <v>3444</v>
      </c>
      <c r="E24">
        <v>3</v>
      </c>
      <c r="F24" t="s">
        <v>3328</v>
      </c>
      <c r="G24" t="str">
        <f t="shared" si="0"/>
        <v>modules/cybermancy/assets/icons/cybernetics/cognitive-filter-array.webp</v>
      </c>
      <c r="H24" t="str">
        <f t="shared" si="1"/>
        <v>Cognitive Filter Array</v>
      </c>
      <c r="I24" t="s">
        <v>59</v>
      </c>
      <c r="J24" t="s">
        <v>39</v>
      </c>
      <c r="K24" t="s">
        <v>3020</v>
      </c>
      <c r="M24" s="20" t="s">
        <v>3419</v>
      </c>
      <c r="N24" s="20"/>
      <c r="O24" s="20"/>
      <c r="P24" s="20"/>
      <c r="Q24" t="s">
        <v>3048</v>
      </c>
      <c r="R24" t="s">
        <v>3298</v>
      </c>
      <c r="S24" s="20" t="s">
        <v>3245</v>
      </c>
      <c r="T24" s="8" t="s">
        <v>3180</v>
      </c>
      <c r="U24" s="8" t="s">
        <v>3128</v>
      </c>
      <c r="V24" s="8"/>
      <c r="W24" t="s">
        <v>1227</v>
      </c>
    </row>
    <row r="25" spans="1:23" ht="29" x14ac:dyDescent="0.35">
      <c r="A25" t="s">
        <v>3074</v>
      </c>
      <c r="B25" t="s">
        <v>1227</v>
      </c>
      <c r="C25" s="25" t="s">
        <v>3548</v>
      </c>
      <c r="D25" t="s">
        <v>3445</v>
      </c>
      <c r="E25">
        <v>1</v>
      </c>
      <c r="F25" t="s">
        <v>3329</v>
      </c>
      <c r="G25" t="str">
        <f t="shared" si="0"/>
        <v>modules/cybermancy/assets/icons/cybernetics/motion-prediction-gyro.webp</v>
      </c>
      <c r="H25" t="str">
        <f t="shared" si="1"/>
        <v>Motion Prediction Gyro</v>
      </c>
      <c r="I25" t="s">
        <v>59</v>
      </c>
      <c r="J25" t="s">
        <v>39</v>
      </c>
      <c r="K25" t="s">
        <v>3020</v>
      </c>
      <c r="M25" s="20"/>
      <c r="N25" s="20"/>
      <c r="O25" s="20"/>
      <c r="P25" s="20"/>
      <c r="Q25" t="s">
        <v>3238</v>
      </c>
      <c r="R25" t="s">
        <v>3302</v>
      </c>
      <c r="S25" s="20" t="s">
        <v>3244</v>
      </c>
      <c r="T25" s="8" t="s">
        <v>3181</v>
      </c>
      <c r="U25" s="8" t="s">
        <v>3129</v>
      </c>
      <c r="V25" s="8"/>
      <c r="W25" t="s">
        <v>1227</v>
      </c>
    </row>
    <row r="26" spans="1:23" ht="43.5" x14ac:dyDescent="0.35">
      <c r="A26" t="s">
        <v>3075</v>
      </c>
      <c r="B26" t="s">
        <v>1227</v>
      </c>
      <c r="C26" s="25" t="s">
        <v>3549</v>
      </c>
      <c r="D26" t="s">
        <v>3446</v>
      </c>
      <c r="E26">
        <v>1</v>
      </c>
      <c r="F26" t="s">
        <v>3330</v>
      </c>
      <c r="G26" t="str">
        <f t="shared" si="0"/>
        <v>modules/cybermancy/assets/icons/cybernetics/nerve-lattice-fingertips.webp</v>
      </c>
      <c r="H26" t="str">
        <f t="shared" si="1"/>
        <v>Nerve-Lattice Fingertips</v>
      </c>
      <c r="I26" t="s">
        <v>59</v>
      </c>
      <c r="J26" t="s">
        <v>37</v>
      </c>
      <c r="K26" t="s">
        <v>3023</v>
      </c>
      <c r="M26" s="20"/>
      <c r="N26" s="20"/>
      <c r="O26" s="20"/>
      <c r="P26" s="20"/>
      <c r="Q26" t="s">
        <v>3239</v>
      </c>
      <c r="R26" t="s">
        <v>3299</v>
      </c>
      <c r="S26" s="20" t="s">
        <v>3244</v>
      </c>
      <c r="T26" s="8" t="s">
        <v>3182</v>
      </c>
      <c r="U26" s="8" t="s">
        <v>3130</v>
      </c>
      <c r="V26" s="8"/>
      <c r="W26" t="s">
        <v>1227</v>
      </c>
    </row>
    <row r="27" spans="1:23" ht="58" x14ac:dyDescent="0.35">
      <c r="A27" t="s">
        <v>3076</v>
      </c>
      <c r="B27" t="s">
        <v>1227</v>
      </c>
      <c r="C27" s="25" t="s">
        <v>3550</v>
      </c>
      <c r="D27" t="s">
        <v>3447</v>
      </c>
      <c r="E27">
        <v>1</v>
      </c>
      <c r="F27" t="s">
        <v>3331</v>
      </c>
      <c r="G27" t="str">
        <f t="shared" si="0"/>
        <v>modules/cybermancy/assets/icons/cybernetics/nanite-medigel-reservoir.webp</v>
      </c>
      <c r="H27" t="str">
        <f t="shared" si="1"/>
        <v>Nanite Medigel Reservoir</v>
      </c>
      <c r="I27" t="s">
        <v>59</v>
      </c>
      <c r="J27" t="s">
        <v>37</v>
      </c>
      <c r="M27" s="20" t="s">
        <v>3420</v>
      </c>
      <c r="N27" s="20"/>
      <c r="O27" s="20"/>
      <c r="P27" s="20"/>
      <c r="Q27" t="s">
        <v>3240</v>
      </c>
      <c r="R27" t="s">
        <v>3300</v>
      </c>
      <c r="S27" s="20" t="s">
        <v>3244</v>
      </c>
      <c r="T27" s="8" t="s">
        <v>3183</v>
      </c>
      <c r="U27" s="8" t="s">
        <v>3131</v>
      </c>
      <c r="V27" s="8"/>
      <c r="W27" t="s">
        <v>1227</v>
      </c>
    </row>
    <row r="28" spans="1:23" ht="58" x14ac:dyDescent="0.35">
      <c r="A28" t="s">
        <v>3077</v>
      </c>
      <c r="B28" t="s">
        <v>1227</v>
      </c>
      <c r="C28" s="25" t="s">
        <v>3551</v>
      </c>
      <c r="D28" t="s">
        <v>3448</v>
      </c>
      <c r="E28">
        <v>3</v>
      </c>
      <c r="F28" t="s">
        <v>3332</v>
      </c>
      <c r="G28" t="str">
        <f t="shared" si="0"/>
        <v>modules/cybermancy/assets/icons/cybernetics/regenerative-stemware.webp</v>
      </c>
      <c r="H28" t="str">
        <f t="shared" si="1"/>
        <v>Regenerative Stemware</v>
      </c>
      <c r="I28" t="s">
        <v>59</v>
      </c>
      <c r="J28" t="s">
        <v>38</v>
      </c>
      <c r="M28" s="20"/>
      <c r="N28" s="20"/>
      <c r="O28" s="20"/>
      <c r="P28" s="20"/>
      <c r="Q28" t="s">
        <v>3042</v>
      </c>
      <c r="R28" t="s">
        <v>3298</v>
      </c>
      <c r="S28" s="20" t="s">
        <v>3243</v>
      </c>
      <c r="T28" s="8" t="s">
        <v>3184</v>
      </c>
      <c r="U28" s="8" t="s">
        <v>3132</v>
      </c>
      <c r="V28" s="8"/>
      <c r="W28" t="s">
        <v>1227</v>
      </c>
    </row>
    <row r="29" spans="1:23" ht="43.5" x14ac:dyDescent="0.35">
      <c r="A29" t="s">
        <v>3271</v>
      </c>
      <c r="B29" t="s">
        <v>1227</v>
      </c>
      <c r="C29" s="25" t="s">
        <v>3552</v>
      </c>
      <c r="D29" t="s">
        <v>3449</v>
      </c>
      <c r="E29">
        <v>2</v>
      </c>
      <c r="F29" t="s">
        <v>3382</v>
      </c>
      <c r="G29" t="str">
        <f t="shared" si="0"/>
        <v>modules/cybermancy/assets/icons/cybernetics/brainiac-intuit.webp</v>
      </c>
      <c r="H29" t="str">
        <f t="shared" si="1"/>
        <v>Brainiac™ Intuit</v>
      </c>
      <c r="I29" t="s">
        <v>59</v>
      </c>
      <c r="J29" t="s">
        <v>37</v>
      </c>
      <c r="K29" t="s">
        <v>3023</v>
      </c>
      <c r="M29" s="20"/>
      <c r="N29" s="20"/>
      <c r="O29" s="20"/>
      <c r="P29" s="20"/>
      <c r="Q29" t="s">
        <v>3048</v>
      </c>
      <c r="R29" t="s">
        <v>3301</v>
      </c>
      <c r="S29" s="20" t="s">
        <v>3243</v>
      </c>
      <c r="T29" s="8" t="s">
        <v>3185</v>
      </c>
      <c r="U29" s="8" t="s">
        <v>3133</v>
      </c>
      <c r="V29" s="8"/>
      <c r="W29" t="s">
        <v>1227</v>
      </c>
    </row>
    <row r="30" spans="1:23" ht="58" x14ac:dyDescent="0.35">
      <c r="A30" t="s">
        <v>3269</v>
      </c>
      <c r="B30" t="s">
        <v>1227</v>
      </c>
      <c r="C30" s="25" t="s">
        <v>3553</v>
      </c>
      <c r="D30" t="s">
        <v>3450</v>
      </c>
      <c r="E30">
        <v>2</v>
      </c>
      <c r="F30" t="s">
        <v>3383</v>
      </c>
      <c r="G30" t="str">
        <f t="shared" si="0"/>
        <v>modules/cybermancy/assets/icons/cybernetics/brainiac-know-it-all.webp</v>
      </c>
      <c r="H30" t="str">
        <f t="shared" si="1"/>
        <v>Brainiac™ Know-it-all</v>
      </c>
      <c r="I30" t="s">
        <v>59</v>
      </c>
      <c r="J30" t="s">
        <v>37</v>
      </c>
      <c r="K30" t="s">
        <v>3023</v>
      </c>
      <c r="M30" s="20"/>
      <c r="N30" s="20"/>
      <c r="O30" s="20"/>
      <c r="P30" s="20"/>
      <c r="Q30" t="s">
        <v>3048</v>
      </c>
      <c r="R30" t="s">
        <v>3300</v>
      </c>
      <c r="S30" s="20" t="s">
        <v>3243</v>
      </c>
      <c r="T30" s="8" t="s">
        <v>3186</v>
      </c>
      <c r="U30" s="8" t="s">
        <v>3134</v>
      </c>
      <c r="V30" s="8"/>
      <c r="W30" t="s">
        <v>1227</v>
      </c>
    </row>
    <row r="31" spans="1:23" ht="72.5" x14ac:dyDescent="0.35">
      <c r="A31" t="s">
        <v>3078</v>
      </c>
      <c r="B31" t="s">
        <v>1227</v>
      </c>
      <c r="C31" s="25" t="s">
        <v>3554</v>
      </c>
      <c r="D31" t="s">
        <v>3451</v>
      </c>
      <c r="E31">
        <v>3</v>
      </c>
      <c r="F31" t="s">
        <v>3333</v>
      </c>
      <c r="G31" t="str">
        <f t="shared" si="0"/>
        <v>modules/cybermancy/assets/icons/cybernetics/dreamweaver-chip.webp</v>
      </c>
      <c r="H31" t="str">
        <f t="shared" si="1"/>
        <v>DreamWeaver Chip</v>
      </c>
      <c r="I31" t="s">
        <v>59</v>
      </c>
      <c r="J31" t="s">
        <v>38</v>
      </c>
      <c r="M31" s="20"/>
      <c r="N31" s="20"/>
      <c r="O31" s="20"/>
      <c r="P31" s="20"/>
      <c r="Q31" t="s">
        <v>3048</v>
      </c>
      <c r="R31" t="s">
        <v>3299</v>
      </c>
      <c r="S31" s="20" t="s">
        <v>3245</v>
      </c>
      <c r="T31" s="8" t="s">
        <v>3187</v>
      </c>
      <c r="U31" s="8" t="s">
        <v>3135</v>
      </c>
      <c r="V31" s="8"/>
      <c r="W31" t="s">
        <v>1227</v>
      </c>
    </row>
    <row r="32" spans="1:23" ht="72.5" x14ac:dyDescent="0.35">
      <c r="A32" t="s">
        <v>3079</v>
      </c>
      <c r="B32" t="s">
        <v>1227</v>
      </c>
      <c r="C32" s="25" t="s">
        <v>3555</v>
      </c>
      <c r="D32" t="s">
        <v>3452</v>
      </c>
      <c r="E32">
        <v>3</v>
      </c>
      <c r="F32" t="s">
        <v>3334</v>
      </c>
      <c r="G32" t="str">
        <f t="shared" si="0"/>
        <v>modules/cybermancy/assets/icons/cybernetics/rem-compression-routine.webp</v>
      </c>
      <c r="H32" t="str">
        <f t="shared" si="1"/>
        <v>REM Compression Routine</v>
      </c>
      <c r="I32" t="s">
        <v>59</v>
      </c>
      <c r="J32" t="s">
        <v>38</v>
      </c>
      <c r="M32" s="20" t="s">
        <v>3420</v>
      </c>
      <c r="N32" s="20"/>
      <c r="O32" s="20"/>
      <c r="P32" s="20"/>
      <c r="Q32" t="s">
        <v>3048</v>
      </c>
      <c r="R32" t="s">
        <v>3301</v>
      </c>
      <c r="S32" s="20" t="s">
        <v>3243</v>
      </c>
      <c r="T32" s="8" t="s">
        <v>3188</v>
      </c>
      <c r="U32" s="8" t="s">
        <v>3136</v>
      </c>
      <c r="V32" s="8"/>
      <c r="W32" t="s">
        <v>1227</v>
      </c>
    </row>
    <row r="33" spans="1:23" ht="72.5" x14ac:dyDescent="0.35">
      <c r="A33" t="s">
        <v>3080</v>
      </c>
      <c r="B33" t="s">
        <v>1227</v>
      </c>
      <c r="C33" s="25" t="s">
        <v>3556</v>
      </c>
      <c r="D33" t="s">
        <v>3453</v>
      </c>
      <c r="E33">
        <v>2</v>
      </c>
      <c r="F33" t="s">
        <v>3335</v>
      </c>
      <c r="G33" t="str">
        <f t="shared" si="0"/>
        <v>modules/cybermancy/assets/icons/cybernetics/arc-resonator-node.webp</v>
      </c>
      <c r="H33" t="str">
        <f t="shared" si="1"/>
        <v>Arc Resonator Node</v>
      </c>
      <c r="I33" t="s">
        <v>59</v>
      </c>
      <c r="J33" t="s">
        <v>37</v>
      </c>
      <c r="K33" t="s">
        <v>3023</v>
      </c>
      <c r="M33" s="20" t="s">
        <v>3252</v>
      </c>
      <c r="N33" s="20"/>
      <c r="O33" s="20"/>
      <c r="P33" s="20"/>
      <c r="Q33" t="s">
        <v>3236</v>
      </c>
      <c r="R33" t="s">
        <v>3303</v>
      </c>
      <c r="S33" s="20" t="s">
        <v>3243</v>
      </c>
      <c r="T33" s="8" t="s">
        <v>3189</v>
      </c>
      <c r="U33" s="8" t="s">
        <v>3111</v>
      </c>
      <c r="V33" s="8"/>
      <c r="W33" t="s">
        <v>1227</v>
      </c>
    </row>
    <row r="34" spans="1:23" ht="72.5" x14ac:dyDescent="0.35">
      <c r="A34" t="s">
        <v>3081</v>
      </c>
      <c r="B34" t="s">
        <v>1227</v>
      </c>
      <c r="C34" s="25" t="s">
        <v>3557</v>
      </c>
      <c r="D34" t="s">
        <v>3454</v>
      </c>
      <c r="E34">
        <v>1</v>
      </c>
      <c r="F34" t="s">
        <v>3336</v>
      </c>
      <c r="G34" t="str">
        <f t="shared" si="0"/>
        <v>modules/cybermancy/assets/icons/cybernetics/etheric-amplifier.webp</v>
      </c>
      <c r="H34" t="str">
        <f t="shared" si="1"/>
        <v>Etheric Amplifier</v>
      </c>
      <c r="I34" t="s">
        <v>59</v>
      </c>
      <c r="J34" t="s">
        <v>37</v>
      </c>
      <c r="K34" t="s">
        <v>3020</v>
      </c>
      <c r="M34" s="20"/>
      <c r="N34" s="20"/>
      <c r="O34" s="20"/>
      <c r="P34" s="20"/>
      <c r="Q34" t="s">
        <v>3236</v>
      </c>
      <c r="R34" t="s">
        <v>3303</v>
      </c>
      <c r="S34" s="20" t="s">
        <v>3244</v>
      </c>
      <c r="T34" s="8" t="s">
        <v>3190</v>
      </c>
      <c r="U34" s="8" t="s">
        <v>3112</v>
      </c>
      <c r="V34" s="8"/>
      <c r="W34" t="s">
        <v>1227</v>
      </c>
    </row>
    <row r="35" spans="1:23" ht="43.5" x14ac:dyDescent="0.35">
      <c r="A35" t="s">
        <v>3222</v>
      </c>
      <c r="B35" t="s">
        <v>1227</v>
      </c>
      <c r="C35" s="25" t="s">
        <v>3558</v>
      </c>
      <c r="D35" t="s">
        <v>3455</v>
      </c>
      <c r="E35">
        <v>2</v>
      </c>
      <c r="F35" t="s">
        <v>3337</v>
      </c>
      <c r="G35" t="str">
        <f t="shared" si="0"/>
        <v>modules/cybermancy/assets/icons/cybernetics/adv.-nanite-trauma-mesh.webp</v>
      </c>
      <c r="H35" t="str">
        <f t="shared" si="1"/>
        <v>Adv. Nanite Trauma Mesh</v>
      </c>
      <c r="I35" t="s">
        <v>59</v>
      </c>
      <c r="J35" t="s">
        <v>39</v>
      </c>
      <c r="M35" s="20" t="s">
        <v>3420</v>
      </c>
      <c r="N35" s="20"/>
      <c r="O35" s="20"/>
      <c r="P35" s="20"/>
      <c r="Q35" t="s">
        <v>3240</v>
      </c>
      <c r="R35" t="s">
        <v>3301</v>
      </c>
      <c r="S35" s="20" t="s">
        <v>3243</v>
      </c>
      <c r="T35" s="8" t="s">
        <v>3221</v>
      </c>
      <c r="U35" s="23"/>
      <c r="V35" s="23"/>
      <c r="W35" t="s">
        <v>1227</v>
      </c>
    </row>
    <row r="36" spans="1:23" ht="29" x14ac:dyDescent="0.35">
      <c r="A36" t="s">
        <v>3258</v>
      </c>
      <c r="B36" t="s">
        <v>1227</v>
      </c>
      <c r="C36" s="25" t="s">
        <v>3559</v>
      </c>
      <c r="D36" t="s">
        <v>3456</v>
      </c>
      <c r="E36">
        <v>4</v>
      </c>
      <c r="F36" t="s">
        <v>3338</v>
      </c>
      <c r="G36" t="str">
        <f t="shared" si="0"/>
        <v>modules/cybermancy/assets/icons/cybernetics/elite-nanite-trauma-mesh.webp</v>
      </c>
      <c r="H36" t="str">
        <f t="shared" si="1"/>
        <v>Elite Nanite Trauma Mesh</v>
      </c>
      <c r="I36" t="s">
        <v>59</v>
      </c>
      <c r="J36" t="s">
        <v>39</v>
      </c>
      <c r="M36" s="20" t="s">
        <v>3420</v>
      </c>
      <c r="N36" s="20"/>
      <c r="O36" s="20"/>
      <c r="P36" s="20"/>
      <c r="Q36" t="s">
        <v>3240</v>
      </c>
      <c r="R36" t="s">
        <v>3300</v>
      </c>
      <c r="S36" s="20" t="s">
        <v>3245</v>
      </c>
      <c r="T36" s="8" t="s">
        <v>3223</v>
      </c>
      <c r="U36" s="23"/>
      <c r="V36" s="23"/>
      <c r="W36" t="s">
        <v>1227</v>
      </c>
    </row>
    <row r="37" spans="1:23" ht="101.5" x14ac:dyDescent="0.35">
      <c r="A37" t="s">
        <v>3083</v>
      </c>
      <c r="B37" t="s">
        <v>1227</v>
      </c>
      <c r="C37" s="25" t="s">
        <v>3560</v>
      </c>
      <c r="D37" t="s">
        <v>3457</v>
      </c>
      <c r="E37">
        <v>3</v>
      </c>
      <c r="F37" t="s">
        <v>3339</v>
      </c>
      <c r="G37" t="str">
        <f t="shared" si="0"/>
        <v>modules/cybermancy/assets/icons/cybernetics/neuro-spinal-load-balancer.webp</v>
      </c>
      <c r="H37" t="str">
        <f t="shared" si="1"/>
        <v>Neuro-Spinal Load Balancer</v>
      </c>
      <c r="I37" t="s">
        <v>59</v>
      </c>
      <c r="J37" t="s">
        <v>37</v>
      </c>
      <c r="K37" t="s">
        <v>3023</v>
      </c>
      <c r="M37" s="20"/>
      <c r="N37" s="20"/>
      <c r="O37" s="20"/>
      <c r="P37" s="20"/>
      <c r="Q37" t="s">
        <v>3047</v>
      </c>
      <c r="R37" t="s">
        <v>3299</v>
      </c>
      <c r="S37" s="20" t="s">
        <v>3245</v>
      </c>
      <c r="T37" s="8" t="s">
        <v>3192</v>
      </c>
      <c r="U37" s="8" t="s">
        <v>3137</v>
      </c>
      <c r="V37" s="8"/>
      <c r="W37" t="s">
        <v>1227</v>
      </c>
    </row>
    <row r="38" spans="1:23" ht="58" x14ac:dyDescent="0.35">
      <c r="A38" t="s">
        <v>3084</v>
      </c>
      <c r="B38" t="s">
        <v>1227</v>
      </c>
      <c r="C38" s="25" t="s">
        <v>3561</v>
      </c>
      <c r="D38" t="s">
        <v>3458</v>
      </c>
      <c r="E38">
        <v>4</v>
      </c>
      <c r="F38" t="s">
        <v>3340</v>
      </c>
      <c r="G38" t="str">
        <f t="shared" si="0"/>
        <v>modules/cybermancy/assets/icons/cybernetics/modular-hardpoint-interface.webp</v>
      </c>
      <c r="H38" t="str">
        <f t="shared" si="1"/>
        <v>Modular Hardpoint Interface</v>
      </c>
      <c r="I38" t="s">
        <v>59</v>
      </c>
      <c r="J38" t="s">
        <v>38</v>
      </c>
      <c r="M38" s="20"/>
      <c r="N38" s="20"/>
      <c r="O38" s="20"/>
      <c r="P38" s="20"/>
      <c r="Q38" t="s">
        <v>3048</v>
      </c>
      <c r="R38" t="s">
        <v>3299</v>
      </c>
      <c r="S38" s="20" t="s">
        <v>3246</v>
      </c>
      <c r="T38" s="8" t="s">
        <v>3193</v>
      </c>
      <c r="U38" s="8" t="s">
        <v>3138</v>
      </c>
      <c r="V38" s="8"/>
      <c r="W38" t="s">
        <v>1227</v>
      </c>
    </row>
    <row r="39" spans="1:23" ht="145" x14ac:dyDescent="0.35">
      <c r="A39" t="s">
        <v>3082</v>
      </c>
      <c r="B39" t="s">
        <v>1227</v>
      </c>
      <c r="C39" s="25" t="s">
        <v>3562</v>
      </c>
      <c r="D39" t="s">
        <v>3459</v>
      </c>
      <c r="E39">
        <v>1</v>
      </c>
      <c r="F39" t="s">
        <v>3341</v>
      </c>
      <c r="G39" t="str">
        <f t="shared" si="0"/>
        <v>modules/cybermancy/assets/icons/cybernetics/nanite-trauma-mesh.webp</v>
      </c>
      <c r="H39" t="str">
        <f t="shared" si="1"/>
        <v>Nanite Trauma Mesh</v>
      </c>
      <c r="I39" t="s">
        <v>59</v>
      </c>
      <c r="J39" t="s">
        <v>39</v>
      </c>
      <c r="M39" s="20" t="s">
        <v>3420</v>
      </c>
      <c r="N39" s="20"/>
      <c r="O39" s="20"/>
      <c r="P39" s="20"/>
      <c r="Q39" t="s">
        <v>3240</v>
      </c>
      <c r="R39" t="s">
        <v>3297</v>
      </c>
      <c r="S39" s="20" t="s">
        <v>3244</v>
      </c>
      <c r="T39" s="8" t="s">
        <v>3241</v>
      </c>
      <c r="U39" s="23" t="s">
        <v>3218</v>
      </c>
      <c r="V39" s="23"/>
      <c r="W39" t="s">
        <v>1227</v>
      </c>
    </row>
    <row r="40" spans="1:23" ht="72.5" x14ac:dyDescent="0.35">
      <c r="A40" t="s">
        <v>3260</v>
      </c>
      <c r="B40" t="s">
        <v>1227</v>
      </c>
      <c r="C40" s="25" t="s">
        <v>3563</v>
      </c>
      <c r="D40" t="s">
        <v>3460</v>
      </c>
      <c r="E40">
        <v>2</v>
      </c>
      <c r="F40" t="s">
        <v>3384</v>
      </c>
      <c r="G40" t="str">
        <f t="shared" si="0"/>
        <v>modules/cybermancy/assets/icons/cybernetics/cyberarm-shock-servo-enhancer.webp</v>
      </c>
      <c r="H40" t="str">
        <f t="shared" si="1"/>
        <v>Cyberarm™ Shock Servo Enhancer</v>
      </c>
      <c r="I40" t="s">
        <v>59</v>
      </c>
      <c r="J40" t="s">
        <v>37</v>
      </c>
      <c r="M40" s="20" t="s">
        <v>3252</v>
      </c>
      <c r="N40" s="20"/>
      <c r="O40" s="20"/>
      <c r="P40" s="20"/>
      <c r="Q40" t="s">
        <v>3233</v>
      </c>
      <c r="R40" t="s">
        <v>3302</v>
      </c>
      <c r="S40" s="20" t="s">
        <v>3243</v>
      </c>
      <c r="T40" s="8" t="s">
        <v>3194</v>
      </c>
      <c r="U40" s="8" t="s">
        <v>3114</v>
      </c>
      <c r="V40" s="8"/>
      <c r="W40" t="s">
        <v>1227</v>
      </c>
    </row>
    <row r="41" spans="1:23" ht="72.5" x14ac:dyDescent="0.35">
      <c r="A41" t="s">
        <v>3259</v>
      </c>
      <c r="B41" t="s">
        <v>1227</v>
      </c>
      <c r="C41" s="25" t="s">
        <v>3564</v>
      </c>
      <c r="D41" t="s">
        <v>3461</v>
      </c>
      <c r="E41">
        <v>1</v>
      </c>
      <c r="F41" t="s">
        <v>3385</v>
      </c>
      <c r="G41" t="str">
        <f t="shared" si="0"/>
        <v>modules/cybermancy/assets/icons/cybernetics/cyberarm--combat-limbs.webp</v>
      </c>
      <c r="H41" t="str">
        <f t="shared" si="1"/>
        <v>Cyberarm™  Combat Limbs</v>
      </c>
      <c r="I41" t="s">
        <v>59</v>
      </c>
      <c r="J41" t="s">
        <v>38</v>
      </c>
      <c r="M41" s="20"/>
      <c r="N41" s="20"/>
      <c r="O41" s="20"/>
      <c r="P41" s="20"/>
      <c r="Q41" t="s">
        <v>3233</v>
      </c>
      <c r="R41" t="s">
        <v>3302</v>
      </c>
      <c r="S41" s="20" t="s">
        <v>3244</v>
      </c>
      <c r="T41" s="8" t="s">
        <v>3195</v>
      </c>
      <c r="U41" s="8" t="s">
        <v>3115</v>
      </c>
      <c r="V41" s="8"/>
      <c r="W41" t="s">
        <v>1227</v>
      </c>
    </row>
    <row r="42" spans="1:23" ht="58" x14ac:dyDescent="0.35">
      <c r="A42" t="s">
        <v>3270</v>
      </c>
      <c r="B42" t="s">
        <v>1227</v>
      </c>
      <c r="C42" s="25" t="s">
        <v>3565</v>
      </c>
      <c r="D42" t="s">
        <v>3462</v>
      </c>
      <c r="E42">
        <v>3</v>
      </c>
      <c r="F42" t="s">
        <v>3386</v>
      </c>
      <c r="G42" t="str">
        <f t="shared" si="0"/>
        <v>modules/cybermancy/assets/icons/cybernetics/brainiac-mirror-neuron-amplifier.webp</v>
      </c>
      <c r="H42" t="str">
        <f t="shared" si="1"/>
        <v>Brainiac™ Mirror Neuron Amplifier</v>
      </c>
      <c r="I42" t="s">
        <v>59</v>
      </c>
      <c r="J42" t="s">
        <v>37</v>
      </c>
      <c r="K42" t="s">
        <v>3023</v>
      </c>
      <c r="M42" s="20"/>
      <c r="N42" s="20"/>
      <c r="O42" s="20"/>
      <c r="P42" s="20"/>
      <c r="Q42" t="s">
        <v>3048</v>
      </c>
      <c r="R42" t="s">
        <v>3300</v>
      </c>
      <c r="S42" s="20" t="s">
        <v>3243</v>
      </c>
      <c r="T42" s="8" t="s">
        <v>2644</v>
      </c>
      <c r="U42" s="8" t="s">
        <v>3139</v>
      </c>
      <c r="V42" s="8"/>
      <c r="W42" t="s">
        <v>1227</v>
      </c>
    </row>
    <row r="43" spans="1:23" ht="72.5" x14ac:dyDescent="0.35">
      <c r="A43" t="s">
        <v>3261</v>
      </c>
      <c r="B43" t="s">
        <v>1227</v>
      </c>
      <c r="C43" s="25" t="s">
        <v>3566</v>
      </c>
      <c r="D43" t="s">
        <v>3463</v>
      </c>
      <c r="E43">
        <v>2</v>
      </c>
      <c r="F43" t="s">
        <v>3387</v>
      </c>
      <c r="G43" t="str">
        <f t="shared" si="0"/>
        <v>modules/cybermancy/assets/icons/cybernetics/smartlink-targeting-core.webp</v>
      </c>
      <c r="H43" t="str">
        <f t="shared" si="1"/>
        <v>SmartLink™ Targeting Core</v>
      </c>
      <c r="I43" t="s">
        <v>59</v>
      </c>
      <c r="J43" t="s">
        <v>38</v>
      </c>
      <c r="M43" s="20"/>
      <c r="N43" s="20"/>
      <c r="O43" s="20"/>
      <c r="P43" s="20"/>
      <c r="Q43" t="s">
        <v>3053</v>
      </c>
      <c r="R43" t="s">
        <v>3297</v>
      </c>
      <c r="S43" s="20" t="s">
        <v>3244</v>
      </c>
      <c r="T43" s="8" t="s">
        <v>3196</v>
      </c>
      <c r="U43" s="8" t="s">
        <v>3140</v>
      </c>
      <c r="V43" s="8"/>
      <c r="W43" t="s">
        <v>1227</v>
      </c>
    </row>
    <row r="44" spans="1:23" ht="43.5" x14ac:dyDescent="0.35">
      <c r="A44" t="s">
        <v>3263</v>
      </c>
      <c r="B44" t="s">
        <v>1227</v>
      </c>
      <c r="C44" s="25" t="s">
        <v>3567</v>
      </c>
      <c r="D44" t="s">
        <v>3464</v>
      </c>
      <c r="E44">
        <v>3</v>
      </c>
      <c r="F44" t="s">
        <v>3388</v>
      </c>
      <c r="G44" t="str">
        <f t="shared" si="0"/>
        <v>modules/cybermancy/assets/icons/cybernetics/smartlink-headshot.webp</v>
      </c>
      <c r="H44" t="str">
        <f t="shared" si="1"/>
        <v>SmartLink™ Headshot</v>
      </c>
      <c r="I44" t="s">
        <v>59</v>
      </c>
      <c r="J44" t="s">
        <v>37</v>
      </c>
      <c r="K44" t="s">
        <v>3020</v>
      </c>
      <c r="M44" s="20"/>
      <c r="N44" s="20"/>
      <c r="O44" s="20"/>
      <c r="P44" s="20"/>
      <c r="Q44" t="s">
        <v>3053</v>
      </c>
      <c r="R44" t="s">
        <v>3300</v>
      </c>
      <c r="S44" s="20" t="s">
        <v>3244</v>
      </c>
      <c r="T44" s="8" t="s">
        <v>3197</v>
      </c>
      <c r="U44" t="s">
        <v>3224</v>
      </c>
      <c r="W44" t="s">
        <v>1227</v>
      </c>
    </row>
    <row r="45" spans="1:23" ht="87" x14ac:dyDescent="0.35">
      <c r="A45" t="s">
        <v>3264</v>
      </c>
      <c r="B45" t="s">
        <v>1227</v>
      </c>
      <c r="C45" s="25" t="s">
        <v>3568</v>
      </c>
      <c r="D45" t="s">
        <v>3465</v>
      </c>
      <c r="E45">
        <v>2</v>
      </c>
      <c r="F45" t="s">
        <v>3389</v>
      </c>
      <c r="G45" t="str">
        <f t="shared" si="0"/>
        <v>modules/cybermancy/assets/icons/cybernetics/smartlink-armor-analyzer.webp</v>
      </c>
      <c r="H45" t="str">
        <f t="shared" si="1"/>
        <v>SmartLink™ Armor Analyzer</v>
      </c>
      <c r="I45" t="s">
        <v>59</v>
      </c>
      <c r="J45" t="s">
        <v>37</v>
      </c>
      <c r="K45" t="s">
        <v>3023</v>
      </c>
      <c r="M45" s="20"/>
      <c r="N45" s="20"/>
      <c r="O45" s="20"/>
      <c r="P45" s="20"/>
      <c r="Q45" t="s">
        <v>3053</v>
      </c>
      <c r="R45" t="s">
        <v>3302</v>
      </c>
      <c r="S45" s="20" t="s">
        <v>3244</v>
      </c>
      <c r="T45" s="8" t="s">
        <v>3198</v>
      </c>
      <c r="U45" s="8" t="s">
        <v>3141</v>
      </c>
      <c r="V45" s="8"/>
      <c r="W45" t="s">
        <v>1227</v>
      </c>
    </row>
    <row r="46" spans="1:23" ht="43.5" x14ac:dyDescent="0.35">
      <c r="A46" t="s">
        <v>3087</v>
      </c>
      <c r="B46" t="s">
        <v>1227</v>
      </c>
      <c r="C46" s="25" t="s">
        <v>3569</v>
      </c>
      <c r="D46" t="s">
        <v>3466</v>
      </c>
      <c r="E46">
        <v>3</v>
      </c>
      <c r="F46" t="s">
        <v>3342</v>
      </c>
      <c r="G46" t="str">
        <f t="shared" si="0"/>
        <v>modules/cybermancy/assets/icons/cybernetics/skilljack-neural-matrix.webp</v>
      </c>
      <c r="H46" t="str">
        <f t="shared" si="1"/>
        <v>SkillJack Neural Matrix</v>
      </c>
      <c r="I46" t="s">
        <v>59</v>
      </c>
      <c r="J46" t="s">
        <v>37</v>
      </c>
      <c r="K46" t="s">
        <v>3024</v>
      </c>
      <c r="M46" s="20" t="s">
        <v>3252</v>
      </c>
      <c r="N46" s="20"/>
      <c r="O46" s="20"/>
      <c r="P46" s="20"/>
      <c r="Q46" t="s">
        <v>3048</v>
      </c>
      <c r="R46" t="s">
        <v>3297</v>
      </c>
      <c r="S46" s="20" t="s">
        <v>3244</v>
      </c>
      <c r="T46" s="8" t="s">
        <v>3199</v>
      </c>
      <c r="U46" s="8" t="s">
        <v>3142</v>
      </c>
      <c r="V46" s="8"/>
      <c r="W46" t="s">
        <v>1227</v>
      </c>
    </row>
    <row r="47" spans="1:23" ht="58" x14ac:dyDescent="0.35">
      <c r="A47" t="s">
        <v>3265</v>
      </c>
      <c r="B47" t="s">
        <v>1227</v>
      </c>
      <c r="C47" s="25" t="s">
        <v>3570</v>
      </c>
      <c r="D47" t="s">
        <v>3467</v>
      </c>
      <c r="E47">
        <v>1</v>
      </c>
      <c r="F47" t="s">
        <v>3390</v>
      </c>
      <c r="G47" t="str">
        <f t="shared" si="0"/>
        <v>modules/cybermancy/assets/icons/cybernetics/brainiac-signal-amplifier-array.webp</v>
      </c>
      <c r="H47" t="str">
        <f t="shared" si="1"/>
        <v>Brainiac™ Signal Amplifier Array</v>
      </c>
      <c r="I47" t="s">
        <v>59</v>
      </c>
      <c r="J47" t="s">
        <v>37</v>
      </c>
      <c r="K47" t="s">
        <v>3024</v>
      </c>
      <c r="M47" s="20"/>
      <c r="N47" s="20"/>
      <c r="O47" s="20"/>
      <c r="P47" s="20"/>
      <c r="Q47" t="s">
        <v>3048</v>
      </c>
      <c r="R47" t="s">
        <v>3301</v>
      </c>
      <c r="S47" s="20" t="s">
        <v>3244</v>
      </c>
      <c r="T47" s="8" t="s">
        <v>3200</v>
      </c>
      <c r="U47" s="8" t="s">
        <v>3143</v>
      </c>
      <c r="V47" s="8"/>
      <c r="W47" t="s">
        <v>1227</v>
      </c>
    </row>
    <row r="48" spans="1:23" ht="58" x14ac:dyDescent="0.35">
      <c r="A48" t="s">
        <v>3088</v>
      </c>
      <c r="B48" t="s">
        <v>1227</v>
      </c>
      <c r="C48" s="25" t="s">
        <v>3571</v>
      </c>
      <c r="D48" t="s">
        <v>3468</v>
      </c>
      <c r="E48">
        <v>1</v>
      </c>
      <c r="F48" t="s">
        <v>3343</v>
      </c>
      <c r="G48" t="str">
        <f t="shared" si="0"/>
        <v>modules/cybermancy/assets/icons/cybernetics/mana-projector-coil.webp</v>
      </c>
      <c r="H48" t="str">
        <f t="shared" si="1"/>
        <v>Mana Projector Coil</v>
      </c>
      <c r="I48" t="s">
        <v>59</v>
      </c>
      <c r="J48" t="s">
        <v>37</v>
      </c>
      <c r="K48" t="s">
        <v>3024</v>
      </c>
      <c r="M48" s="20"/>
      <c r="N48" s="20"/>
      <c r="O48" s="20"/>
      <c r="P48" s="20"/>
      <c r="Q48" t="s">
        <v>3236</v>
      </c>
      <c r="R48" t="s">
        <v>3299</v>
      </c>
      <c r="S48" s="20" t="s">
        <v>3244</v>
      </c>
      <c r="T48" s="8" t="s">
        <v>3201</v>
      </c>
      <c r="U48" s="8" t="s">
        <v>3144</v>
      </c>
      <c r="V48" s="8"/>
      <c r="W48" t="s">
        <v>1227</v>
      </c>
    </row>
    <row r="49" spans="1:23" ht="58" x14ac:dyDescent="0.35">
      <c r="A49" t="s">
        <v>3266</v>
      </c>
      <c r="B49" t="s">
        <v>1227</v>
      </c>
      <c r="C49" s="25" t="s">
        <v>3572</v>
      </c>
      <c r="D49" t="s">
        <v>3469</v>
      </c>
      <c r="E49">
        <v>1</v>
      </c>
      <c r="F49" t="s">
        <v>3391</v>
      </c>
      <c r="G49" t="str">
        <f t="shared" si="0"/>
        <v>modules/cybermancy/assets/icons/cybernetics/smartlink-ballistics.webp</v>
      </c>
      <c r="H49" t="str">
        <f t="shared" si="1"/>
        <v>SmartLink™ Ballistics</v>
      </c>
      <c r="I49" t="s">
        <v>59</v>
      </c>
      <c r="J49" t="s">
        <v>37</v>
      </c>
      <c r="K49" t="s">
        <v>3023</v>
      </c>
      <c r="M49" s="20"/>
      <c r="N49" s="20"/>
      <c r="O49" s="20"/>
      <c r="P49" s="20"/>
      <c r="Q49" t="s">
        <v>3048</v>
      </c>
      <c r="R49" t="s">
        <v>3302</v>
      </c>
      <c r="S49" s="20" t="s">
        <v>3244</v>
      </c>
      <c r="T49" s="8" t="s">
        <v>3202</v>
      </c>
      <c r="U49" s="8" t="s">
        <v>3145</v>
      </c>
      <c r="V49" s="8"/>
      <c r="W49" t="s">
        <v>1227</v>
      </c>
    </row>
    <row r="50" spans="1:23" ht="58" x14ac:dyDescent="0.35">
      <c r="A50" t="s">
        <v>3090</v>
      </c>
      <c r="B50" t="s">
        <v>1227</v>
      </c>
      <c r="C50" s="25" t="s">
        <v>3573</v>
      </c>
      <c r="D50" t="s">
        <v>3470</v>
      </c>
      <c r="E50">
        <v>2</v>
      </c>
      <c r="F50" t="s">
        <v>3344</v>
      </c>
      <c r="G50" t="str">
        <f t="shared" si="0"/>
        <v>modules/cybermancy/assets/icons/cybernetics/adrenal-surge-regulator.webp</v>
      </c>
      <c r="H50" t="str">
        <f t="shared" si="1"/>
        <v>Adrenal Surge Regulator</v>
      </c>
      <c r="I50" t="s">
        <v>59</v>
      </c>
      <c r="J50" t="s">
        <v>37</v>
      </c>
      <c r="K50" t="s">
        <v>3020</v>
      </c>
      <c r="M50" s="20" t="s">
        <v>3252</v>
      </c>
      <c r="N50" s="20"/>
      <c r="O50" s="20"/>
      <c r="P50" s="20"/>
      <c r="Q50" t="s">
        <v>3057</v>
      </c>
      <c r="R50" t="s">
        <v>3300</v>
      </c>
      <c r="S50" s="20" t="s">
        <v>3243</v>
      </c>
      <c r="T50" s="8" t="s">
        <v>3203</v>
      </c>
      <c r="U50" s="8" t="s">
        <v>3116</v>
      </c>
      <c r="V50" s="8"/>
      <c r="W50" t="s">
        <v>1227</v>
      </c>
    </row>
    <row r="51" spans="1:23" ht="58" x14ac:dyDescent="0.35">
      <c r="A51" t="s">
        <v>3091</v>
      </c>
      <c r="B51" t="s">
        <v>1227</v>
      </c>
      <c r="C51" s="25" t="s">
        <v>3574</v>
      </c>
      <c r="D51" t="s">
        <v>3471</v>
      </c>
      <c r="E51">
        <v>1</v>
      </c>
      <c r="F51" t="s">
        <v>3345</v>
      </c>
      <c r="G51" t="str">
        <f t="shared" si="0"/>
        <v>modules/cybermancy/assets/icons/cybernetics/tactical-subcortex.webp</v>
      </c>
      <c r="H51" t="str">
        <f t="shared" si="1"/>
        <v>Tactical Subcortex</v>
      </c>
      <c r="I51" t="s">
        <v>59</v>
      </c>
      <c r="J51" t="s">
        <v>37</v>
      </c>
      <c r="K51" t="s">
        <v>3023</v>
      </c>
      <c r="M51" s="20" t="s">
        <v>3252</v>
      </c>
      <c r="N51" s="20"/>
      <c r="O51" s="20"/>
      <c r="P51" s="20"/>
      <c r="Q51" t="s">
        <v>3057</v>
      </c>
      <c r="R51" t="s">
        <v>3302</v>
      </c>
      <c r="S51" s="20" t="s">
        <v>3244</v>
      </c>
      <c r="T51" s="8" t="s">
        <v>3204</v>
      </c>
      <c r="U51" s="8" t="s">
        <v>3117</v>
      </c>
      <c r="V51" s="8"/>
      <c r="W51" t="s">
        <v>1227</v>
      </c>
    </row>
    <row r="52" spans="1:23" ht="43.5" x14ac:dyDescent="0.35">
      <c r="A52" t="s">
        <v>3286</v>
      </c>
      <c r="B52" t="s">
        <v>1227</v>
      </c>
      <c r="C52" s="25" t="s">
        <v>3575</v>
      </c>
      <c r="D52" t="s">
        <v>3472</v>
      </c>
      <c r="E52">
        <v>1</v>
      </c>
      <c r="F52" t="s">
        <v>3392</v>
      </c>
      <c r="G52" t="str">
        <f t="shared" si="0"/>
        <v>modules/cybermancy/assets/icons/cybernetics/wakizashi-base-unit.webp</v>
      </c>
      <c r="H52" t="str">
        <f t="shared" si="1"/>
        <v>Wakizashi™ Base Unit</v>
      </c>
      <c r="I52" t="s">
        <v>59</v>
      </c>
      <c r="J52" t="s">
        <v>37</v>
      </c>
      <c r="K52" t="s">
        <v>3023</v>
      </c>
      <c r="M52" t="s">
        <v>3252</v>
      </c>
      <c r="Q52" t="s">
        <v>3043</v>
      </c>
      <c r="R52" t="s">
        <v>3302</v>
      </c>
      <c r="S52">
        <v>1</v>
      </c>
    </row>
    <row r="53" spans="1:23" ht="72.5" x14ac:dyDescent="0.35">
      <c r="A53" t="s">
        <v>3283</v>
      </c>
      <c r="B53" t="s">
        <v>1227</v>
      </c>
      <c r="C53" s="25" t="s">
        <v>3576</v>
      </c>
      <c r="D53" t="s">
        <v>3473</v>
      </c>
      <c r="E53">
        <v>2</v>
      </c>
      <c r="F53" t="s">
        <v>3393</v>
      </c>
      <c r="G53" t="str">
        <f t="shared" si="0"/>
        <v>modules/cybermancy/assets/icons/cybernetics/wakizashi-dual-targeting-suite.webp</v>
      </c>
      <c r="H53" t="str">
        <f t="shared" si="1"/>
        <v>Wakizashi™ Dual-Targeting Suite</v>
      </c>
      <c r="I53" t="s">
        <v>59</v>
      </c>
      <c r="J53" t="s">
        <v>37</v>
      </c>
      <c r="K53" t="s">
        <v>3020</v>
      </c>
      <c r="M53" s="20" t="s">
        <v>3252</v>
      </c>
      <c r="N53" s="20"/>
      <c r="O53" s="20"/>
      <c r="P53" s="20"/>
      <c r="Q53" t="s">
        <v>3043</v>
      </c>
      <c r="R53" t="s">
        <v>3302</v>
      </c>
      <c r="S53" s="20" t="s">
        <v>3243</v>
      </c>
      <c r="T53" s="8" t="s">
        <v>3205</v>
      </c>
      <c r="U53" s="8" t="s">
        <v>3146</v>
      </c>
      <c r="V53" s="8"/>
      <c r="W53" t="s">
        <v>1227</v>
      </c>
    </row>
    <row r="54" spans="1:23" ht="87" x14ac:dyDescent="0.35">
      <c r="A54" t="s">
        <v>3287</v>
      </c>
      <c r="B54" t="s">
        <v>1227</v>
      </c>
      <c r="C54" s="25" t="s">
        <v>3577</v>
      </c>
      <c r="D54" t="s">
        <v>3474</v>
      </c>
      <c r="E54">
        <v>1</v>
      </c>
      <c r="F54" t="s">
        <v>3394</v>
      </c>
      <c r="G54" t="str">
        <f t="shared" si="0"/>
        <v>modules/cybermancy/assets/icons/cybernetics/wakizashi-neural-balancer.webp</v>
      </c>
      <c r="H54" t="str">
        <f t="shared" si="1"/>
        <v>Wakizashi™ Neural Balancer</v>
      </c>
      <c r="I54" t="s">
        <v>59</v>
      </c>
      <c r="J54" t="s">
        <v>37</v>
      </c>
      <c r="K54" t="s">
        <v>3023</v>
      </c>
      <c r="M54" s="20"/>
      <c r="N54" s="20"/>
      <c r="O54" s="20"/>
      <c r="P54" s="20"/>
      <c r="Q54" t="s">
        <v>3043</v>
      </c>
      <c r="R54" t="s">
        <v>3302</v>
      </c>
      <c r="S54" s="20"/>
      <c r="T54" s="8" t="s">
        <v>3206</v>
      </c>
      <c r="U54" s="8" t="s">
        <v>3147</v>
      </c>
      <c r="V54" s="8"/>
      <c r="W54" t="s">
        <v>1227</v>
      </c>
    </row>
    <row r="55" spans="1:23" ht="87" x14ac:dyDescent="0.35">
      <c r="A55" t="s">
        <v>3284</v>
      </c>
      <c r="B55" t="s">
        <v>1227</v>
      </c>
      <c r="C55" s="25" t="s">
        <v>3578</v>
      </c>
      <c r="D55" t="s">
        <v>3475</v>
      </c>
      <c r="E55">
        <v>2</v>
      </c>
      <c r="F55" t="s">
        <v>3395</v>
      </c>
      <c r="G55" t="str">
        <f t="shared" si="0"/>
        <v>modules/cybermancy/assets/icons/cybernetics/wakizashi-servo-wrist-reinforcement.webp</v>
      </c>
      <c r="H55" t="str">
        <f t="shared" si="1"/>
        <v>Wakizashi™ Servo Wrist Reinforcement</v>
      </c>
      <c r="I55" t="s">
        <v>59</v>
      </c>
      <c r="J55" t="s">
        <v>37</v>
      </c>
      <c r="K55" t="s">
        <v>3020</v>
      </c>
      <c r="M55" s="20"/>
      <c r="N55" s="20"/>
      <c r="O55" s="20"/>
      <c r="P55" s="20"/>
      <c r="Q55" t="s">
        <v>3043</v>
      </c>
      <c r="R55" t="s">
        <v>3302</v>
      </c>
      <c r="S55" s="20" t="s">
        <v>3244</v>
      </c>
      <c r="T55" s="8" t="s">
        <v>3207</v>
      </c>
      <c r="U55" s="8" t="s">
        <v>3148</v>
      </c>
      <c r="V55" s="8"/>
      <c r="W55" t="s">
        <v>1227</v>
      </c>
    </row>
    <row r="56" spans="1:23" ht="87" x14ac:dyDescent="0.35">
      <c r="A56" t="s">
        <v>3285</v>
      </c>
      <c r="B56" t="s">
        <v>1227</v>
      </c>
      <c r="C56" s="25" t="s">
        <v>3579</v>
      </c>
      <c r="D56" t="s">
        <v>3476</v>
      </c>
      <c r="E56">
        <v>1</v>
      </c>
      <c r="F56" t="s">
        <v>3396</v>
      </c>
      <c r="G56" t="str">
        <f t="shared" si="0"/>
        <v>modules/cybermancy/assets/icons/cybernetics/wakizashi-kinetic-feedback-enhancer.webp</v>
      </c>
      <c r="H56" t="str">
        <f t="shared" si="1"/>
        <v>Wakizashi™ Kinetic Feedback Enhancer</v>
      </c>
      <c r="I56" t="s">
        <v>59</v>
      </c>
      <c r="J56" t="s">
        <v>37</v>
      </c>
      <c r="K56" t="s">
        <v>3023</v>
      </c>
      <c r="M56" s="20"/>
      <c r="N56" s="20"/>
      <c r="O56" s="20"/>
      <c r="P56" s="20"/>
      <c r="Q56" t="s">
        <v>3043</v>
      </c>
      <c r="R56" t="s">
        <v>3302</v>
      </c>
      <c r="S56" s="20" t="s">
        <v>3244</v>
      </c>
      <c r="T56" s="8" t="s">
        <v>3208</v>
      </c>
      <c r="U56" s="8" t="s">
        <v>3149</v>
      </c>
      <c r="V56" s="8"/>
      <c r="W56" t="s">
        <v>1227</v>
      </c>
    </row>
    <row r="57" spans="1:23" ht="72.5" x14ac:dyDescent="0.35">
      <c r="A57" t="s">
        <v>3093</v>
      </c>
      <c r="B57" t="s">
        <v>1227</v>
      </c>
      <c r="C57" s="25" t="s">
        <v>3580</v>
      </c>
      <c r="D57" t="s">
        <v>3477</v>
      </c>
      <c r="E57">
        <v>2</v>
      </c>
      <c r="F57" t="s">
        <v>3346</v>
      </c>
      <c r="G57" t="str">
        <f t="shared" si="0"/>
        <v>modules/cybermancy/assets/icons/cybernetics/meditative-reflex-chip.webp</v>
      </c>
      <c r="H57" t="str">
        <f t="shared" si="1"/>
        <v>Meditative Reflex Chip</v>
      </c>
      <c r="I57" t="s">
        <v>59</v>
      </c>
      <c r="J57" t="s">
        <v>38</v>
      </c>
      <c r="M57" s="20"/>
      <c r="N57" s="20"/>
      <c r="O57" s="20"/>
      <c r="P57" s="20"/>
      <c r="Q57" t="s">
        <v>3048</v>
      </c>
      <c r="R57" t="s">
        <v>3299</v>
      </c>
      <c r="S57" s="20" t="s">
        <v>3244</v>
      </c>
      <c r="T57" s="8" t="s">
        <v>3211</v>
      </c>
      <c r="U57" s="8" t="s">
        <v>3151</v>
      </c>
      <c r="V57" s="8"/>
      <c r="W57" t="s">
        <v>1227</v>
      </c>
    </row>
    <row r="58" spans="1:23" ht="58" x14ac:dyDescent="0.35">
      <c r="A58" t="s">
        <v>3094</v>
      </c>
      <c r="B58" t="s">
        <v>1227</v>
      </c>
      <c r="C58" s="25" t="s">
        <v>3581</v>
      </c>
      <c r="D58" t="s">
        <v>3478</v>
      </c>
      <c r="E58">
        <v>1</v>
      </c>
      <c r="F58" t="s">
        <v>3347</v>
      </c>
      <c r="G58" t="str">
        <f t="shared" si="0"/>
        <v>modules/cybermancy/assets/icons/cybernetics/cognitive-manifold-core.webp</v>
      </c>
      <c r="H58" t="str">
        <f t="shared" si="1"/>
        <v>Cognitive Manifold Core</v>
      </c>
      <c r="I58" t="s">
        <v>59</v>
      </c>
      <c r="J58" t="s">
        <v>37</v>
      </c>
      <c r="K58" t="s">
        <v>3020</v>
      </c>
      <c r="M58" s="20" t="s">
        <v>3252</v>
      </c>
      <c r="N58" s="20"/>
      <c r="O58" s="20"/>
      <c r="P58" s="20"/>
      <c r="Q58" t="s">
        <v>3236</v>
      </c>
      <c r="R58" t="s">
        <v>3301</v>
      </c>
      <c r="S58" s="20" t="s">
        <v>3244</v>
      </c>
      <c r="T58" s="8" t="s">
        <v>3212</v>
      </c>
      <c r="U58" s="8" t="s">
        <v>3152</v>
      </c>
      <c r="V58" s="8"/>
      <c r="W58" t="s">
        <v>1227</v>
      </c>
    </row>
    <row r="59" spans="1:23" ht="72.5" x14ac:dyDescent="0.35">
      <c r="A59" t="s">
        <v>3095</v>
      </c>
      <c r="B59" t="s">
        <v>1227</v>
      </c>
      <c r="C59" s="25" t="s">
        <v>3582</v>
      </c>
      <c r="D59" t="s">
        <v>3479</v>
      </c>
      <c r="E59">
        <v>2</v>
      </c>
      <c r="F59" t="s">
        <v>3348</v>
      </c>
      <c r="G59" t="str">
        <f t="shared" si="0"/>
        <v>modules/cybermancy/assets/icons/cybernetics/psi-focus-amplifier.webp</v>
      </c>
      <c r="H59" t="str">
        <f t="shared" si="1"/>
        <v>Psi-Focus Amplifier</v>
      </c>
      <c r="I59" t="s">
        <v>59</v>
      </c>
      <c r="J59" t="s">
        <v>37</v>
      </c>
      <c r="K59" t="s">
        <v>3020</v>
      </c>
      <c r="M59" s="20"/>
      <c r="N59" s="20"/>
      <c r="O59" s="20"/>
      <c r="P59" s="20"/>
      <c r="Q59" t="s">
        <v>3236</v>
      </c>
      <c r="R59" t="s">
        <v>3302</v>
      </c>
      <c r="S59" s="20" t="s">
        <v>3243</v>
      </c>
      <c r="T59" s="8" t="s">
        <v>3213</v>
      </c>
      <c r="U59" s="8" t="s">
        <v>3153</v>
      </c>
      <c r="V59" s="8"/>
      <c r="W59" t="s">
        <v>1227</v>
      </c>
    </row>
    <row r="60" spans="1:23" ht="43.5" x14ac:dyDescent="0.35">
      <c r="A60" t="s">
        <v>3096</v>
      </c>
      <c r="B60" t="s">
        <v>1227</v>
      </c>
      <c r="C60" s="25" t="s">
        <v>3583</v>
      </c>
      <c r="D60" t="s">
        <v>3480</v>
      </c>
      <c r="E60">
        <v>1</v>
      </c>
      <c r="F60" t="s">
        <v>3349</v>
      </c>
      <c r="G60" t="str">
        <f t="shared" si="0"/>
        <v>modules/cybermancy/assets/icons/cybernetics/myomer-muscle-weave.webp</v>
      </c>
      <c r="H60" t="str">
        <f t="shared" si="1"/>
        <v>Myomer Muscle Weave</v>
      </c>
      <c r="I60" t="s">
        <v>59</v>
      </c>
      <c r="J60" t="s">
        <v>37</v>
      </c>
      <c r="K60" t="s">
        <v>3023</v>
      </c>
      <c r="M60" s="20"/>
      <c r="N60" s="20"/>
      <c r="O60" s="20"/>
      <c r="P60" s="20"/>
      <c r="Q60" t="s">
        <v>3233</v>
      </c>
      <c r="R60" t="s">
        <v>3302</v>
      </c>
      <c r="S60" s="20" t="s">
        <v>3244</v>
      </c>
      <c r="T60" s="8" t="s">
        <v>3214</v>
      </c>
      <c r="U60" s="8" t="s">
        <v>3154</v>
      </c>
      <c r="V60" s="8"/>
      <c r="W60" t="s">
        <v>1227</v>
      </c>
    </row>
    <row r="61" spans="1:23" ht="116" x14ac:dyDescent="0.35">
      <c r="A61" t="s">
        <v>3097</v>
      </c>
      <c r="B61" t="s">
        <v>1227</v>
      </c>
      <c r="C61" s="30" t="s">
        <v>3584</v>
      </c>
      <c r="D61" t="s">
        <v>3481</v>
      </c>
      <c r="E61">
        <v>4</v>
      </c>
      <c r="F61" t="s">
        <v>3350</v>
      </c>
      <c r="G61" t="str">
        <f t="shared" si="0"/>
        <v>modules/cybermancy/assets/icons/cybernetics/neural-firewall.webp</v>
      </c>
      <c r="H61" t="str">
        <f t="shared" si="1"/>
        <v>Neural Firewall</v>
      </c>
      <c r="I61" t="s">
        <v>59</v>
      </c>
      <c r="J61" t="s">
        <v>37</v>
      </c>
      <c r="K61" t="s">
        <v>3023</v>
      </c>
      <c r="M61" s="20" t="s">
        <v>3252</v>
      </c>
      <c r="N61" s="20"/>
      <c r="O61" s="20"/>
      <c r="P61" s="20"/>
      <c r="Q61" t="s">
        <v>3048</v>
      </c>
      <c r="R61" t="s">
        <v>3301</v>
      </c>
      <c r="S61" s="20" t="s">
        <v>3245</v>
      </c>
      <c r="T61" s="8" t="s">
        <v>3215</v>
      </c>
      <c r="U61" s="8" t="s">
        <v>3155</v>
      </c>
      <c r="V61" s="8"/>
      <c r="W61" t="s">
        <v>1227</v>
      </c>
    </row>
    <row r="62" spans="1:23" ht="116" x14ac:dyDescent="0.35">
      <c r="A62" t="s">
        <v>3098</v>
      </c>
      <c r="B62" t="s">
        <v>1227</v>
      </c>
      <c r="C62" s="25" t="s">
        <v>3585</v>
      </c>
      <c r="D62" t="s">
        <v>3482</v>
      </c>
      <c r="E62">
        <v>2</v>
      </c>
      <c r="F62" t="s">
        <v>3351</v>
      </c>
      <c r="G62" t="str">
        <f t="shared" si="0"/>
        <v>modules/cybermancy/assets/icons/cybernetics/limbic-nullifier.webp</v>
      </c>
      <c r="H62" t="str">
        <f t="shared" si="1"/>
        <v>Limbic Nullifier</v>
      </c>
      <c r="I62" t="s">
        <v>59</v>
      </c>
      <c r="J62" t="s">
        <v>37</v>
      </c>
      <c r="K62" t="s">
        <v>3031</v>
      </c>
      <c r="M62" s="20" t="s">
        <v>3252</v>
      </c>
      <c r="N62" s="20"/>
      <c r="O62" s="20"/>
      <c r="P62" s="20"/>
      <c r="Q62" t="s">
        <v>3048</v>
      </c>
      <c r="R62" t="s">
        <v>3299</v>
      </c>
      <c r="S62" s="20" t="s">
        <v>3244</v>
      </c>
      <c r="T62" s="8" t="s">
        <v>3216</v>
      </c>
      <c r="U62" s="8" t="s">
        <v>3156</v>
      </c>
      <c r="V62" s="8"/>
      <c r="W62" t="s">
        <v>1227</v>
      </c>
    </row>
    <row r="63" spans="1:23" ht="14.5" customHeight="1" x14ac:dyDescent="0.35">
      <c r="A63" t="s">
        <v>3229</v>
      </c>
      <c r="B63" t="s">
        <v>1227</v>
      </c>
      <c r="C63" s="25" t="s">
        <v>3586</v>
      </c>
      <c r="D63" t="s">
        <v>3483</v>
      </c>
      <c r="E63">
        <v>3</v>
      </c>
      <c r="F63" t="s">
        <v>3352</v>
      </c>
      <c r="G63" t="str">
        <f t="shared" si="0"/>
        <v>modules/cybermancy/assets/icons/cybernetics/trauma-suppression-cortex.webp</v>
      </c>
      <c r="H63" t="str">
        <f t="shared" si="1"/>
        <v>Trauma Suppression Cortex</v>
      </c>
      <c r="I63" t="s">
        <v>59</v>
      </c>
      <c r="J63" t="s">
        <v>37</v>
      </c>
      <c r="K63" t="s">
        <v>3024</v>
      </c>
      <c r="M63" s="20" t="s">
        <v>3252</v>
      </c>
      <c r="N63" s="20"/>
      <c r="O63" s="20"/>
      <c r="P63" s="20"/>
      <c r="Q63" t="s">
        <v>3048</v>
      </c>
      <c r="R63" t="s">
        <v>3297</v>
      </c>
      <c r="S63" s="24" t="s">
        <v>3243</v>
      </c>
      <c r="T63" s="8" t="s">
        <v>3226</v>
      </c>
      <c r="U63" t="s">
        <v>3220</v>
      </c>
      <c r="W63" t="s">
        <v>1227</v>
      </c>
    </row>
    <row r="64" spans="1:23" ht="58" x14ac:dyDescent="0.35">
      <c r="A64" t="s">
        <v>3230</v>
      </c>
      <c r="B64" t="s">
        <v>1227</v>
      </c>
      <c r="C64" s="25" t="s">
        <v>3587</v>
      </c>
      <c r="D64" t="s">
        <v>3484</v>
      </c>
      <c r="E64">
        <v>1</v>
      </c>
      <c r="F64" t="s">
        <v>3353</v>
      </c>
      <c r="G64" t="str">
        <f t="shared" si="0"/>
        <v>modules/cybermancy/assets/icons/cybernetics/emotive-pulse-regulator.webp</v>
      </c>
      <c r="H64" t="str">
        <f t="shared" si="1"/>
        <v>Emotive Pulse Regulator</v>
      </c>
      <c r="I64" t="s">
        <v>59</v>
      </c>
      <c r="J64" t="s">
        <v>37</v>
      </c>
      <c r="K64" t="s">
        <v>3023</v>
      </c>
      <c r="M64" s="20" t="s">
        <v>3252</v>
      </c>
      <c r="N64" s="20"/>
      <c r="O64" s="20"/>
      <c r="P64" s="20"/>
      <c r="Q64" t="s">
        <v>3048</v>
      </c>
      <c r="R64" t="s">
        <v>3299</v>
      </c>
      <c r="S64" s="24" t="s">
        <v>3244</v>
      </c>
      <c r="T64" s="8" t="s">
        <v>3225</v>
      </c>
      <c r="U64" t="s">
        <v>3157</v>
      </c>
      <c r="W64" t="s">
        <v>1227</v>
      </c>
    </row>
    <row r="65" spans="1:23" ht="43.5" x14ac:dyDescent="0.35">
      <c r="A65" t="s">
        <v>3231</v>
      </c>
      <c r="B65" t="s">
        <v>1227</v>
      </c>
      <c r="C65" s="24" t="s">
        <v>3588</v>
      </c>
      <c r="D65" t="s">
        <v>3485</v>
      </c>
      <c r="E65">
        <v>2</v>
      </c>
      <c r="F65" t="s">
        <v>3354</v>
      </c>
      <c r="G65" t="str">
        <f t="shared" si="0"/>
        <v>modules/cybermancy/assets/icons/cybernetics/parallel-synapse-array.webp</v>
      </c>
      <c r="H65" t="str">
        <f t="shared" si="1"/>
        <v>Parallel Synapse Array</v>
      </c>
      <c r="I65" t="s">
        <v>59</v>
      </c>
      <c r="J65" t="s">
        <v>37</v>
      </c>
      <c r="K65" t="s">
        <v>3024</v>
      </c>
      <c r="M65" s="20" t="s">
        <v>3252</v>
      </c>
      <c r="N65" s="20"/>
      <c r="O65" s="20"/>
      <c r="P65" s="20"/>
      <c r="Q65" t="s">
        <v>3238</v>
      </c>
      <c r="R65" t="s">
        <v>3302</v>
      </c>
      <c r="S65" s="24" t="s">
        <v>3244</v>
      </c>
      <c r="T65" s="8" t="s">
        <v>3228</v>
      </c>
      <c r="U65" t="s">
        <v>3159</v>
      </c>
      <c r="W65" t="s">
        <v>1227</v>
      </c>
    </row>
    <row r="66" spans="1:23" ht="43.5" x14ac:dyDescent="0.35">
      <c r="A66" t="s">
        <v>3232</v>
      </c>
      <c r="B66" t="s">
        <v>1227</v>
      </c>
      <c r="C66" s="24" t="s">
        <v>3589</v>
      </c>
      <c r="D66" t="s">
        <v>3486</v>
      </c>
      <c r="E66">
        <v>2</v>
      </c>
      <c r="F66" t="s">
        <v>3355</v>
      </c>
      <c r="G66" t="str">
        <f t="shared" si="0"/>
        <v>modules/cybermancy/assets/icons/cybernetics/neural-precision-co-processor.webp</v>
      </c>
      <c r="H66" t="str">
        <f t="shared" si="1"/>
        <v>Neural Precision Co-Processor</v>
      </c>
      <c r="I66" t="s">
        <v>59</v>
      </c>
      <c r="J66" t="s">
        <v>37</v>
      </c>
      <c r="K66" t="s">
        <v>3024</v>
      </c>
      <c r="M66" s="20" t="s">
        <v>3252</v>
      </c>
      <c r="N66" s="20"/>
      <c r="O66" s="20"/>
      <c r="P66" s="20"/>
      <c r="Q66" t="s">
        <v>3238</v>
      </c>
      <c r="R66" t="s">
        <v>3302</v>
      </c>
      <c r="S66" s="24" t="s">
        <v>3244</v>
      </c>
      <c r="T66" s="8" t="s">
        <v>3228</v>
      </c>
      <c r="U66" t="s">
        <v>3159</v>
      </c>
      <c r="W66" t="s">
        <v>1227</v>
      </c>
    </row>
    <row r="67" spans="1:23" ht="43.5" x14ac:dyDescent="0.35">
      <c r="A67" t="s">
        <v>3036</v>
      </c>
      <c r="B67" t="s">
        <v>1227</v>
      </c>
      <c r="C67" s="25" t="s">
        <v>3590</v>
      </c>
      <c r="D67" t="s">
        <v>3487</v>
      </c>
      <c r="E67">
        <v>1</v>
      </c>
      <c r="F67" t="s">
        <v>3356</v>
      </c>
      <c r="G67" t="str">
        <f t="shared" ref="G67:G104" si="2">"modules/cybermancy/assets/icons/cybernetics/" &amp; F67 &amp; ".webp"</f>
        <v>modules/cybermancy/assets/icons/cybernetics/subdermal-weave-mk.i.webp</v>
      </c>
      <c r="H67" t="str">
        <f t="shared" ref="H67:H104" si="3">A67</f>
        <v>Subdermal weave Mk.I</v>
      </c>
      <c r="I67" t="s">
        <v>59</v>
      </c>
      <c r="J67" t="s">
        <v>38</v>
      </c>
      <c r="M67" s="20"/>
      <c r="N67" s="20"/>
      <c r="O67" s="20"/>
      <c r="P67" s="20"/>
      <c r="Q67" t="s">
        <v>3042</v>
      </c>
      <c r="R67" t="s">
        <v>3297</v>
      </c>
      <c r="S67" s="20" t="s">
        <v>3244</v>
      </c>
      <c r="U67" s="20" t="s">
        <v>1390</v>
      </c>
      <c r="V67" s="20"/>
      <c r="W67" t="s">
        <v>1227</v>
      </c>
    </row>
    <row r="68" spans="1:23" ht="43.5" x14ac:dyDescent="0.35">
      <c r="A68" t="s">
        <v>3039</v>
      </c>
      <c r="B68" t="s">
        <v>1227</v>
      </c>
      <c r="C68" s="25" t="s">
        <v>3591</v>
      </c>
      <c r="D68" t="s">
        <v>3488</v>
      </c>
      <c r="E68">
        <v>2</v>
      </c>
      <c r="F68" t="s">
        <v>3357</v>
      </c>
      <c r="G68" t="str">
        <f t="shared" si="2"/>
        <v>modules/cybermancy/assets/icons/cybernetics/subdermal-weave-mk.ii.webp</v>
      </c>
      <c r="H68" t="str">
        <f t="shared" si="3"/>
        <v>Subdermal weave Mk.II</v>
      </c>
      <c r="I68" t="s">
        <v>59</v>
      </c>
      <c r="J68" t="s">
        <v>38</v>
      </c>
      <c r="M68" s="20"/>
      <c r="N68" s="20"/>
      <c r="O68" s="20"/>
      <c r="P68" s="20"/>
      <c r="Q68" t="s">
        <v>3042</v>
      </c>
      <c r="R68" t="s">
        <v>3299</v>
      </c>
      <c r="S68" s="20" t="s">
        <v>3243</v>
      </c>
      <c r="U68" s="20" t="s">
        <v>1390</v>
      </c>
      <c r="V68" s="20"/>
      <c r="W68" t="s">
        <v>1227</v>
      </c>
    </row>
    <row r="69" spans="1:23" ht="43.5" x14ac:dyDescent="0.35">
      <c r="A69" t="s">
        <v>3040</v>
      </c>
      <c r="B69" t="s">
        <v>1227</v>
      </c>
      <c r="C69" s="25" t="s">
        <v>3592</v>
      </c>
      <c r="D69" t="s">
        <v>3489</v>
      </c>
      <c r="E69">
        <v>3</v>
      </c>
      <c r="F69" t="s">
        <v>3358</v>
      </c>
      <c r="G69" t="str">
        <f t="shared" si="2"/>
        <v>modules/cybermancy/assets/icons/cybernetics/subdermal-weave-mk.iii.webp</v>
      </c>
      <c r="H69" t="str">
        <f t="shared" si="3"/>
        <v>Subdermal weave Mk.III</v>
      </c>
      <c r="I69" t="s">
        <v>59</v>
      </c>
      <c r="J69" t="s">
        <v>38</v>
      </c>
      <c r="M69" s="20"/>
      <c r="N69" s="20"/>
      <c r="O69" s="20"/>
      <c r="P69" s="20"/>
      <c r="Q69" t="s">
        <v>3042</v>
      </c>
      <c r="R69" t="s">
        <v>3301</v>
      </c>
      <c r="S69" s="20" t="s">
        <v>3245</v>
      </c>
      <c r="U69" s="20" t="s">
        <v>1390</v>
      </c>
      <c r="V69" s="20"/>
      <c r="W69" t="s">
        <v>1227</v>
      </c>
    </row>
    <row r="70" spans="1:23" ht="43.5" x14ac:dyDescent="0.35">
      <c r="A70" t="s">
        <v>3041</v>
      </c>
      <c r="B70" t="s">
        <v>1227</v>
      </c>
      <c r="C70" s="25" t="s">
        <v>3593</v>
      </c>
      <c r="D70" t="s">
        <v>3490</v>
      </c>
      <c r="E70">
        <v>4</v>
      </c>
      <c r="F70" t="s">
        <v>3359</v>
      </c>
      <c r="G70" t="str">
        <f t="shared" si="2"/>
        <v>modules/cybermancy/assets/icons/cybernetics/subdermal-weave-mk.iv.webp</v>
      </c>
      <c r="H70" t="str">
        <f t="shared" si="3"/>
        <v>Subdermal weave Mk.IV</v>
      </c>
      <c r="I70" t="s">
        <v>59</v>
      </c>
      <c r="J70" t="s">
        <v>38</v>
      </c>
      <c r="M70" s="20"/>
      <c r="N70" s="20"/>
      <c r="O70" s="20"/>
      <c r="P70" s="20"/>
      <c r="Q70" t="s">
        <v>3042</v>
      </c>
      <c r="R70" t="s">
        <v>3302</v>
      </c>
      <c r="S70" s="20" t="s">
        <v>3246</v>
      </c>
      <c r="U70" s="20" t="s">
        <v>1390</v>
      </c>
      <c r="V70" s="20"/>
      <c r="W70" t="s">
        <v>1227</v>
      </c>
    </row>
    <row r="71" spans="1:23" ht="43.5" x14ac:dyDescent="0.35">
      <c r="A71" t="s">
        <v>3044</v>
      </c>
      <c r="B71" t="s">
        <v>1227</v>
      </c>
      <c r="C71" s="25" t="s">
        <v>3594</v>
      </c>
      <c r="D71" t="s">
        <v>3491</v>
      </c>
      <c r="E71">
        <v>1</v>
      </c>
      <c r="F71" t="s">
        <v>3360</v>
      </c>
      <c r="G71" t="str">
        <f t="shared" si="2"/>
        <v>modules/cybermancy/assets/icons/cybernetics/dynamic-tattoo.webp</v>
      </c>
      <c r="H71" t="str">
        <f t="shared" si="3"/>
        <v>Dynamic tattoo</v>
      </c>
      <c r="I71" t="s">
        <v>37</v>
      </c>
      <c r="J71" t="s">
        <v>37</v>
      </c>
      <c r="K71" t="s">
        <v>3023</v>
      </c>
      <c r="M71" s="20" t="s">
        <v>3419</v>
      </c>
      <c r="N71" s="20"/>
      <c r="O71" s="20"/>
      <c r="P71" s="20"/>
      <c r="Q71" t="s">
        <v>3042</v>
      </c>
      <c r="R71" t="s">
        <v>3301</v>
      </c>
      <c r="S71" s="20" t="s">
        <v>3248</v>
      </c>
      <c r="U71" s="20"/>
      <c r="V71" s="20"/>
      <c r="W71" t="s">
        <v>1227</v>
      </c>
    </row>
    <row r="72" spans="1:23" ht="43.5" x14ac:dyDescent="0.35">
      <c r="A72" t="s">
        <v>3249</v>
      </c>
      <c r="B72" t="s">
        <v>1227</v>
      </c>
      <c r="C72" s="25" t="s">
        <v>3595</v>
      </c>
      <c r="D72" t="s">
        <v>3492</v>
      </c>
      <c r="E72">
        <v>1</v>
      </c>
      <c r="F72" t="s">
        <v>3361</v>
      </c>
      <c r="G72" t="str">
        <f t="shared" si="2"/>
        <v>modules/cybermancy/assets/icons/cybernetics/chemical-hazard-sensor.webp</v>
      </c>
      <c r="H72" t="str">
        <f t="shared" si="3"/>
        <v>Chemical hazard sensor</v>
      </c>
      <c r="I72" t="s">
        <v>37</v>
      </c>
      <c r="J72" t="s">
        <v>37</v>
      </c>
      <c r="K72" t="s">
        <v>3023</v>
      </c>
      <c r="M72" s="20" t="s">
        <v>3252</v>
      </c>
      <c r="N72" s="20"/>
      <c r="O72" s="20"/>
      <c r="P72" s="20"/>
      <c r="Q72" t="s">
        <v>3250</v>
      </c>
      <c r="R72" t="s">
        <v>3298</v>
      </c>
      <c r="S72" s="20" t="s">
        <v>3244</v>
      </c>
      <c r="U72" s="20"/>
      <c r="V72" s="20"/>
      <c r="W72" t="s">
        <v>1227</v>
      </c>
    </row>
    <row r="73" spans="1:23" ht="29" x14ac:dyDescent="0.35">
      <c r="A73" t="s">
        <v>3037</v>
      </c>
      <c r="B73" t="s">
        <v>1227</v>
      </c>
      <c r="C73" s="25" t="s">
        <v>3596</v>
      </c>
      <c r="D73" t="s">
        <v>3493</v>
      </c>
      <c r="E73">
        <v>1</v>
      </c>
      <c r="F73" t="s">
        <v>3362</v>
      </c>
      <c r="G73" t="str">
        <f t="shared" si="2"/>
        <v>modules/cybermancy/assets/icons/cybernetics/dermal-plating-mk.i.webp</v>
      </c>
      <c r="H73" t="str">
        <f t="shared" si="3"/>
        <v>Dermal Plating Mk.I</v>
      </c>
      <c r="I73" t="s">
        <v>1224</v>
      </c>
      <c r="J73" t="s">
        <v>38</v>
      </c>
      <c r="M73" s="20"/>
      <c r="N73" s="20"/>
      <c r="O73" s="20"/>
      <c r="P73" s="20"/>
      <c r="Q73" t="s">
        <v>3045</v>
      </c>
      <c r="R73" t="s">
        <v>3299</v>
      </c>
      <c r="S73" s="20" t="s">
        <v>3244</v>
      </c>
      <c r="U73" s="20"/>
      <c r="V73" s="20"/>
      <c r="W73" t="s">
        <v>1227</v>
      </c>
    </row>
    <row r="74" spans="1:23" ht="29" x14ac:dyDescent="0.35">
      <c r="A74" t="s">
        <v>3038</v>
      </c>
      <c r="B74" t="s">
        <v>1227</v>
      </c>
      <c r="C74" s="25" t="s">
        <v>3597</v>
      </c>
      <c r="D74" t="s">
        <v>3494</v>
      </c>
      <c r="E74">
        <v>2</v>
      </c>
      <c r="F74" t="s">
        <v>3363</v>
      </c>
      <c r="G74" t="str">
        <f t="shared" si="2"/>
        <v>modules/cybermancy/assets/icons/cybernetics/dermal-plating-mk.ii.webp</v>
      </c>
      <c r="H74" t="str">
        <f t="shared" si="3"/>
        <v>Dermal Plating Mk.II</v>
      </c>
      <c r="I74" t="s">
        <v>1224</v>
      </c>
      <c r="J74" t="s">
        <v>38</v>
      </c>
      <c r="M74" s="20"/>
      <c r="N74" s="20"/>
      <c r="O74" s="20"/>
      <c r="P74" s="20"/>
      <c r="Q74" t="s">
        <v>3045</v>
      </c>
      <c r="R74" t="s">
        <v>3298</v>
      </c>
      <c r="S74" s="20" t="s">
        <v>3243</v>
      </c>
      <c r="U74" s="20"/>
      <c r="V74" s="20"/>
      <c r="W74" t="s">
        <v>1227</v>
      </c>
    </row>
    <row r="75" spans="1:23" ht="29" x14ac:dyDescent="0.35">
      <c r="A75" t="s">
        <v>3055</v>
      </c>
      <c r="B75" t="s">
        <v>1227</v>
      </c>
      <c r="C75" s="25" t="s">
        <v>3598</v>
      </c>
      <c r="D75" t="s">
        <v>3495</v>
      </c>
      <c r="E75">
        <v>3</v>
      </c>
      <c r="F75" t="s">
        <v>3364</v>
      </c>
      <c r="G75" t="str">
        <f t="shared" si="2"/>
        <v>modules/cybermancy/assets/icons/cybernetics/dermal-plating-mk.iii.webp</v>
      </c>
      <c r="H75" t="str">
        <f t="shared" si="3"/>
        <v>Dermal Plating Mk.III</v>
      </c>
      <c r="I75" t="s">
        <v>1224</v>
      </c>
      <c r="J75" t="s">
        <v>38</v>
      </c>
      <c r="M75" s="20"/>
      <c r="N75" s="20"/>
      <c r="O75" s="20"/>
      <c r="P75" s="20"/>
      <c r="Q75" t="s">
        <v>3045</v>
      </c>
      <c r="R75" t="s">
        <v>3301</v>
      </c>
      <c r="S75" s="20" t="s">
        <v>3245</v>
      </c>
      <c r="U75" s="20"/>
      <c r="V75" s="20"/>
      <c r="W75" t="s">
        <v>1227</v>
      </c>
    </row>
    <row r="76" spans="1:23" ht="29" x14ac:dyDescent="0.35">
      <c r="A76" t="s">
        <v>3056</v>
      </c>
      <c r="B76" t="s">
        <v>1227</v>
      </c>
      <c r="C76" s="25" t="s">
        <v>3599</v>
      </c>
      <c r="D76" t="s">
        <v>3496</v>
      </c>
      <c r="E76">
        <v>4</v>
      </c>
      <c r="F76" t="s">
        <v>3365</v>
      </c>
      <c r="G76" t="str">
        <f t="shared" si="2"/>
        <v>modules/cybermancy/assets/icons/cybernetics/dermal-plating-mk.iv.webp</v>
      </c>
      <c r="H76" t="str">
        <f t="shared" si="3"/>
        <v>Dermal Plating Mk.IV</v>
      </c>
      <c r="I76" t="s">
        <v>1224</v>
      </c>
      <c r="J76" t="s">
        <v>38</v>
      </c>
      <c r="M76" s="20"/>
      <c r="N76" s="20"/>
      <c r="O76" s="20"/>
      <c r="P76" s="20"/>
      <c r="Q76" t="s">
        <v>3045</v>
      </c>
      <c r="R76" t="s">
        <v>3301</v>
      </c>
      <c r="S76" s="20" t="s">
        <v>3246</v>
      </c>
      <c r="U76" s="20"/>
      <c r="V76" s="20"/>
      <c r="W76" t="s">
        <v>1227</v>
      </c>
    </row>
    <row r="77" spans="1:23" ht="58" x14ac:dyDescent="0.35">
      <c r="A77" t="s">
        <v>3288</v>
      </c>
      <c r="B77" t="s">
        <v>1227</v>
      </c>
      <c r="C77" s="25" t="s">
        <v>3600</v>
      </c>
      <c r="D77" t="s">
        <v>3497</v>
      </c>
      <c r="E77">
        <v>1</v>
      </c>
      <c r="F77" t="s">
        <v>3366</v>
      </c>
      <c r="G77" t="str">
        <f t="shared" si="2"/>
        <v>modules/cybermancy/assets/icons/cybernetics/gorilla-arms-mk.i.webp</v>
      </c>
      <c r="H77" t="str">
        <f t="shared" si="3"/>
        <v>Gorilla Arms Mk.I</v>
      </c>
      <c r="I77" t="s">
        <v>37</v>
      </c>
      <c r="J77" t="s">
        <v>37</v>
      </c>
      <c r="K77" t="s">
        <v>3023</v>
      </c>
      <c r="M77" s="20"/>
      <c r="N77" s="20"/>
      <c r="O77" s="20"/>
      <c r="P77" s="20"/>
      <c r="Q77" t="s">
        <v>3046</v>
      </c>
      <c r="R77" t="s">
        <v>3302</v>
      </c>
      <c r="S77" s="20" t="s">
        <v>3244</v>
      </c>
      <c r="V77" s="20"/>
      <c r="W77" t="s">
        <v>1227</v>
      </c>
    </row>
    <row r="78" spans="1:23" ht="58" x14ac:dyDescent="0.35">
      <c r="A78" t="s">
        <v>3289</v>
      </c>
      <c r="B78" t="s">
        <v>1227</v>
      </c>
      <c r="C78" s="25" t="s">
        <v>3601</v>
      </c>
      <c r="D78" t="s">
        <v>3498</v>
      </c>
      <c r="E78">
        <v>2</v>
      </c>
      <c r="F78" t="s">
        <v>3367</v>
      </c>
      <c r="G78" t="str">
        <f t="shared" si="2"/>
        <v>modules/cybermancy/assets/icons/cybernetics/gorilla-arms-mk.ii.webp</v>
      </c>
      <c r="H78" t="str">
        <f t="shared" si="3"/>
        <v>Gorilla Arms Mk.II</v>
      </c>
      <c r="I78" t="s">
        <v>37</v>
      </c>
      <c r="J78" t="s">
        <v>37</v>
      </c>
      <c r="K78" t="s">
        <v>3023</v>
      </c>
      <c r="M78" s="20"/>
      <c r="N78" s="20"/>
      <c r="O78" s="20"/>
      <c r="P78" s="20"/>
      <c r="Q78" t="s">
        <v>3046</v>
      </c>
      <c r="R78" t="s">
        <v>3302</v>
      </c>
      <c r="S78" s="20" t="s">
        <v>3244</v>
      </c>
      <c r="V78" s="20"/>
      <c r="W78" t="s">
        <v>1227</v>
      </c>
    </row>
    <row r="79" spans="1:23" ht="58" x14ac:dyDescent="0.35">
      <c r="A79" t="s">
        <v>3290</v>
      </c>
      <c r="B79" t="s">
        <v>1227</v>
      </c>
      <c r="C79" s="25" t="s">
        <v>3602</v>
      </c>
      <c r="D79" t="s">
        <v>3499</v>
      </c>
      <c r="E79">
        <v>3</v>
      </c>
      <c r="F79" t="s">
        <v>3368</v>
      </c>
      <c r="G79" t="str">
        <f t="shared" si="2"/>
        <v>modules/cybermancy/assets/icons/cybernetics/gorilla-arms-mk.iii.webp</v>
      </c>
      <c r="H79" t="str">
        <f t="shared" si="3"/>
        <v>Gorilla Arms Mk.III</v>
      </c>
      <c r="I79" t="s">
        <v>37</v>
      </c>
      <c r="J79" t="s">
        <v>37</v>
      </c>
      <c r="K79" t="s">
        <v>3023</v>
      </c>
      <c r="M79" s="20"/>
      <c r="N79" s="20"/>
      <c r="O79" s="20"/>
      <c r="P79" s="20"/>
      <c r="Q79" t="s">
        <v>3046</v>
      </c>
      <c r="R79" t="s">
        <v>3302</v>
      </c>
      <c r="S79" s="20" t="s">
        <v>3243</v>
      </c>
      <c r="V79" s="20"/>
      <c r="W79" t="s">
        <v>1227</v>
      </c>
    </row>
    <row r="80" spans="1:23" ht="43.5" x14ac:dyDescent="0.35">
      <c r="A80" t="s">
        <v>3291</v>
      </c>
      <c r="B80" t="s">
        <v>1227</v>
      </c>
      <c r="C80" s="25" t="s">
        <v>3603</v>
      </c>
      <c r="D80" t="s">
        <v>3500</v>
      </c>
      <c r="E80">
        <v>1</v>
      </c>
      <c r="F80" t="s">
        <v>3369</v>
      </c>
      <c r="G80" t="str">
        <f t="shared" si="2"/>
        <v>modules/cybermancy/assets/icons/cybernetics/feline-feet-mk.i.webp</v>
      </c>
      <c r="H80" t="str">
        <f t="shared" si="3"/>
        <v>Feline Feet Mk.I</v>
      </c>
      <c r="I80" t="s">
        <v>37</v>
      </c>
      <c r="J80" t="s">
        <v>37</v>
      </c>
      <c r="K80" t="s">
        <v>3023</v>
      </c>
      <c r="M80" s="20"/>
      <c r="N80" s="20"/>
      <c r="O80" s="20"/>
      <c r="P80" s="20"/>
      <c r="Q80" t="s">
        <v>3047</v>
      </c>
      <c r="R80" t="s">
        <v>3303</v>
      </c>
      <c r="S80" s="20" t="s">
        <v>3244</v>
      </c>
      <c r="V80" s="20"/>
      <c r="W80" t="s">
        <v>1227</v>
      </c>
    </row>
    <row r="81" spans="1:23" ht="43.5" x14ac:dyDescent="0.35">
      <c r="A81" t="s">
        <v>3292</v>
      </c>
      <c r="B81" t="s">
        <v>1227</v>
      </c>
      <c r="C81" s="25" t="s">
        <v>3604</v>
      </c>
      <c r="D81" t="s">
        <v>3501</v>
      </c>
      <c r="E81">
        <v>2</v>
      </c>
      <c r="F81" t="s">
        <v>3370</v>
      </c>
      <c r="G81" t="str">
        <f t="shared" si="2"/>
        <v>modules/cybermancy/assets/icons/cybernetics/feline-feet-mk.ii.webp</v>
      </c>
      <c r="H81" t="str">
        <f t="shared" si="3"/>
        <v>Feline Feet Mk.II</v>
      </c>
      <c r="I81" t="s">
        <v>37</v>
      </c>
      <c r="J81" t="s">
        <v>37</v>
      </c>
      <c r="K81" t="s">
        <v>3024</v>
      </c>
      <c r="M81" s="20"/>
      <c r="N81" s="20"/>
      <c r="O81" s="20"/>
      <c r="P81" s="20"/>
      <c r="Q81" t="s">
        <v>3047</v>
      </c>
      <c r="R81" t="s">
        <v>3302</v>
      </c>
      <c r="S81" s="20" t="s">
        <v>3244</v>
      </c>
      <c r="V81" s="20"/>
      <c r="W81" t="s">
        <v>1227</v>
      </c>
    </row>
    <row r="82" spans="1:23" ht="43.5" x14ac:dyDescent="0.35">
      <c r="A82" t="s">
        <v>3293</v>
      </c>
      <c r="B82" t="s">
        <v>1227</v>
      </c>
      <c r="C82" s="25" t="s">
        <v>3605</v>
      </c>
      <c r="D82" t="s">
        <v>3502</v>
      </c>
      <c r="E82">
        <v>3</v>
      </c>
      <c r="F82" t="s">
        <v>3371</v>
      </c>
      <c r="G82" t="str">
        <f t="shared" si="2"/>
        <v>modules/cybermancy/assets/icons/cybernetics/feline-feet-mk.iii.webp</v>
      </c>
      <c r="H82" t="str">
        <f t="shared" si="3"/>
        <v>Feline Feet Mk.III</v>
      </c>
      <c r="I82" t="s">
        <v>37</v>
      </c>
      <c r="J82" t="s">
        <v>37</v>
      </c>
      <c r="K82" t="s">
        <v>3031</v>
      </c>
      <c r="M82" s="20"/>
      <c r="N82" s="20"/>
      <c r="O82" s="20"/>
      <c r="P82" s="20"/>
      <c r="Q82" t="s">
        <v>3047</v>
      </c>
      <c r="R82" t="s">
        <v>3302</v>
      </c>
      <c r="S82" s="20" t="s">
        <v>3243</v>
      </c>
      <c r="V82" s="20"/>
      <c r="W82" t="s">
        <v>1227</v>
      </c>
    </row>
    <row r="83" spans="1:23" ht="58" x14ac:dyDescent="0.35">
      <c r="A83" t="s">
        <v>3294</v>
      </c>
      <c r="B83" t="s">
        <v>1227</v>
      </c>
      <c r="C83" s="25" t="s">
        <v>3606</v>
      </c>
      <c r="D83" t="s">
        <v>3503</v>
      </c>
      <c r="E83">
        <v>4</v>
      </c>
      <c r="F83" t="s">
        <v>3372</v>
      </c>
      <c r="G83" t="str">
        <f t="shared" si="2"/>
        <v>modules/cybermancy/assets/icons/cybernetics/feline-feet-mk.iv.webp</v>
      </c>
      <c r="H83" t="str">
        <f t="shared" si="3"/>
        <v>Feline Feet Mk.IV</v>
      </c>
      <c r="I83" t="s">
        <v>37</v>
      </c>
      <c r="J83" t="s">
        <v>37</v>
      </c>
      <c r="K83" t="s">
        <v>3031</v>
      </c>
      <c r="M83" s="20" t="s">
        <v>3419</v>
      </c>
      <c r="N83" s="20"/>
      <c r="O83" s="20"/>
      <c r="P83" s="20"/>
      <c r="Q83" t="s">
        <v>3047</v>
      </c>
      <c r="R83" t="s">
        <v>3301</v>
      </c>
      <c r="S83" s="20" t="s">
        <v>3245</v>
      </c>
      <c r="V83" s="20"/>
      <c r="W83" t="s">
        <v>1227</v>
      </c>
    </row>
    <row r="84" spans="1:23" ht="43.5" x14ac:dyDescent="0.35">
      <c r="A84" t="s">
        <v>3267</v>
      </c>
      <c r="B84" t="s">
        <v>1227</v>
      </c>
      <c r="C84" s="25" t="s">
        <v>3607</v>
      </c>
      <c r="D84" t="s">
        <v>3504</v>
      </c>
      <c r="E84">
        <v>1</v>
      </c>
      <c r="F84" t="s">
        <v>3373</v>
      </c>
      <c r="G84" t="str">
        <f t="shared" si="2"/>
        <v>modules/cybermancy/assets/icons/cybernetics/claws.webp</v>
      </c>
      <c r="H84" t="str">
        <f t="shared" si="3"/>
        <v>Claws</v>
      </c>
      <c r="I84" t="s">
        <v>37</v>
      </c>
      <c r="J84" t="s">
        <v>37</v>
      </c>
      <c r="K84" t="s">
        <v>3023</v>
      </c>
      <c r="M84" s="20"/>
      <c r="N84" s="20"/>
      <c r="O84" s="20"/>
      <c r="P84" s="20"/>
      <c r="Q84" t="s">
        <v>3239</v>
      </c>
      <c r="R84" t="s">
        <v>3303</v>
      </c>
      <c r="S84" s="20" t="s">
        <v>3244</v>
      </c>
      <c r="U84" s="21"/>
      <c r="V84" s="21"/>
      <c r="W84" t="s">
        <v>1227</v>
      </c>
    </row>
    <row r="85" spans="1:23" ht="72.5" x14ac:dyDescent="0.35">
      <c r="A85" t="s">
        <v>3304</v>
      </c>
      <c r="B85" t="s">
        <v>1227</v>
      </c>
      <c r="C85" s="25" t="s">
        <v>3608</v>
      </c>
      <c r="D85" t="s">
        <v>3505</v>
      </c>
      <c r="E85">
        <v>1</v>
      </c>
      <c r="F85" t="s">
        <v>3397</v>
      </c>
      <c r="G85" t="str">
        <f t="shared" si="2"/>
        <v>modules/cybermancy/assets/icons/cybernetics/cyberarm-widow-spine.webp</v>
      </c>
      <c r="H85" t="str">
        <f t="shared" si="3"/>
        <v>Cyberarm™ Widow Spine</v>
      </c>
      <c r="I85" t="s">
        <v>37</v>
      </c>
      <c r="J85" t="s">
        <v>37</v>
      </c>
      <c r="K85" t="s">
        <v>3023</v>
      </c>
      <c r="M85" s="20"/>
      <c r="N85" s="20"/>
      <c r="O85" s="20"/>
      <c r="P85" s="20"/>
      <c r="Q85" t="s">
        <v>3043</v>
      </c>
      <c r="R85" t="s">
        <v>3302</v>
      </c>
      <c r="S85" s="20" t="s">
        <v>3244</v>
      </c>
      <c r="U85" s="20"/>
      <c r="V85" s="20"/>
      <c r="W85" t="s">
        <v>1227</v>
      </c>
    </row>
    <row r="86" spans="1:23" ht="43.5" x14ac:dyDescent="0.35">
      <c r="A86" t="s">
        <v>3305</v>
      </c>
      <c r="B86" t="s">
        <v>1227</v>
      </c>
      <c r="C86" s="25" t="s">
        <v>3609</v>
      </c>
      <c r="D86" t="s">
        <v>3506</v>
      </c>
      <c r="E86">
        <v>1</v>
      </c>
      <c r="F86" t="s">
        <v>3398</v>
      </c>
      <c r="G86" t="str">
        <f t="shared" si="2"/>
        <v>modules/cybermancy/assets/icons/cybernetics/cyberarm-all-access.webp</v>
      </c>
      <c r="H86" t="str">
        <f t="shared" si="3"/>
        <v>Cyberarm™ All Access</v>
      </c>
      <c r="I86" t="s">
        <v>37</v>
      </c>
      <c r="J86" t="s">
        <v>37</v>
      </c>
      <c r="K86" t="s">
        <v>3023</v>
      </c>
      <c r="M86" s="20"/>
      <c r="N86" s="20"/>
      <c r="O86" s="20"/>
      <c r="P86" s="20"/>
      <c r="Q86" t="s">
        <v>3049</v>
      </c>
      <c r="R86" t="s">
        <v>3302</v>
      </c>
      <c r="S86" s="20" t="s">
        <v>3244</v>
      </c>
      <c r="U86" s="20"/>
      <c r="V86" s="20"/>
      <c r="W86" t="s">
        <v>1227</v>
      </c>
    </row>
    <row r="87" spans="1:23" ht="58" x14ac:dyDescent="0.35">
      <c r="A87" t="s">
        <v>3306</v>
      </c>
      <c r="B87" t="s">
        <v>1227</v>
      </c>
      <c r="C87" s="25" t="s">
        <v>3610</v>
      </c>
      <c r="D87" t="s">
        <v>3507</v>
      </c>
      <c r="E87">
        <v>1</v>
      </c>
      <c r="F87" t="s">
        <v>3399</v>
      </c>
      <c r="G87" t="str">
        <f t="shared" si="2"/>
        <v>modules/cybermancy/assets/icons/cybernetics/cyberarm-digital-uplink.webp</v>
      </c>
      <c r="H87" t="str">
        <f t="shared" si="3"/>
        <v>Cyberarm™ Digital Uplink</v>
      </c>
      <c r="I87" t="s">
        <v>37</v>
      </c>
      <c r="J87" t="s">
        <v>37</v>
      </c>
      <c r="K87" t="s">
        <v>3023</v>
      </c>
      <c r="M87" s="20"/>
      <c r="N87" s="20"/>
      <c r="O87" s="20"/>
      <c r="P87" s="20"/>
      <c r="Q87" t="s">
        <v>3049</v>
      </c>
      <c r="R87" t="s">
        <v>3298</v>
      </c>
      <c r="S87" s="20" t="s">
        <v>3244</v>
      </c>
      <c r="U87" s="20"/>
      <c r="V87" s="20"/>
      <c r="W87" t="s">
        <v>1227</v>
      </c>
    </row>
    <row r="88" spans="1:23" ht="58" x14ac:dyDescent="0.35">
      <c r="A88" t="s">
        <v>3307</v>
      </c>
      <c r="B88" t="s">
        <v>1227</v>
      </c>
      <c r="C88" s="25" t="s">
        <v>3611</v>
      </c>
      <c r="D88" t="s">
        <v>3508</v>
      </c>
      <c r="E88">
        <v>1</v>
      </c>
      <c r="F88" t="s">
        <v>3400</v>
      </c>
      <c r="G88" t="str">
        <f t="shared" si="2"/>
        <v>modules/cybermancy/assets/icons/cybernetics/cyberarm-holdall.webp</v>
      </c>
      <c r="H88" t="str">
        <f t="shared" si="3"/>
        <v>Cyberarm™ Holdall</v>
      </c>
      <c r="I88" t="s">
        <v>37</v>
      </c>
      <c r="J88" t="s">
        <v>38</v>
      </c>
      <c r="M88" s="20"/>
      <c r="N88" s="20"/>
      <c r="O88" s="20"/>
      <c r="P88" s="20"/>
      <c r="Q88" t="s">
        <v>3050</v>
      </c>
      <c r="R88" t="s">
        <v>3302</v>
      </c>
      <c r="S88" s="20" t="s">
        <v>3244</v>
      </c>
      <c r="U88" s="20"/>
      <c r="V88" s="20"/>
      <c r="W88" t="s">
        <v>1227</v>
      </c>
    </row>
    <row r="89" spans="1:23" ht="58" x14ac:dyDescent="0.35">
      <c r="A89" t="s">
        <v>3268</v>
      </c>
      <c r="B89" t="s">
        <v>1227</v>
      </c>
      <c r="C89" s="25" t="s">
        <v>3612</v>
      </c>
      <c r="D89" t="s">
        <v>3509</v>
      </c>
      <c r="E89">
        <v>1</v>
      </c>
      <c r="F89" t="s">
        <v>3401</v>
      </c>
      <c r="G89" t="str">
        <f t="shared" si="2"/>
        <v>modules/cybermancy/assets/icons/cybernetics/brainiac-cyberdeck.webp</v>
      </c>
      <c r="H89" t="str">
        <f t="shared" si="3"/>
        <v>Brainiac™ Cyberdeck</v>
      </c>
      <c r="I89" t="s">
        <v>37</v>
      </c>
      <c r="J89" t="s">
        <v>38</v>
      </c>
      <c r="M89" s="20"/>
      <c r="N89" s="20"/>
      <c r="O89" s="20"/>
      <c r="P89" s="20"/>
      <c r="Q89" t="s">
        <v>3048</v>
      </c>
      <c r="R89" t="s">
        <v>3297</v>
      </c>
      <c r="S89" s="20" t="s">
        <v>3243</v>
      </c>
      <c r="U89" s="20"/>
      <c r="V89" s="20"/>
      <c r="W89" t="s">
        <v>1227</v>
      </c>
    </row>
    <row r="90" spans="1:23" ht="43.5" x14ac:dyDescent="0.35">
      <c r="A90" t="s">
        <v>3272</v>
      </c>
      <c r="B90" t="s">
        <v>1227</v>
      </c>
      <c r="C90" s="25" t="s">
        <v>3613</v>
      </c>
      <c r="D90" t="s">
        <v>3510</v>
      </c>
      <c r="E90">
        <v>3</v>
      </c>
      <c r="F90" t="s">
        <v>3402</v>
      </c>
      <c r="G90" t="str">
        <f t="shared" si="2"/>
        <v>modules/cybermancy/assets/icons/cybernetics/brainiac-skilz.webp</v>
      </c>
      <c r="H90" t="str">
        <f t="shared" si="3"/>
        <v>Brainiac™ Skilz</v>
      </c>
      <c r="I90" t="s">
        <v>59</v>
      </c>
      <c r="J90" t="s">
        <v>38</v>
      </c>
      <c r="M90" s="20"/>
      <c r="N90" s="20"/>
      <c r="O90" s="20"/>
      <c r="P90" s="20"/>
      <c r="Q90" t="s">
        <v>3048</v>
      </c>
      <c r="R90" t="s">
        <v>3299</v>
      </c>
      <c r="S90" s="20" t="s">
        <v>3243</v>
      </c>
      <c r="U90" s="20"/>
      <c r="V90" s="20"/>
      <c r="W90" t="s">
        <v>1227</v>
      </c>
    </row>
    <row r="91" spans="1:23" ht="43.5" x14ac:dyDescent="0.35">
      <c r="A91" t="s">
        <v>3274</v>
      </c>
      <c r="B91" t="s">
        <v>1227</v>
      </c>
      <c r="C91" s="25" t="s">
        <v>3614</v>
      </c>
      <c r="D91" t="s">
        <v>3511</v>
      </c>
      <c r="E91">
        <v>1</v>
      </c>
      <c r="F91" t="s">
        <v>3403</v>
      </c>
      <c r="G91" t="str">
        <f t="shared" si="2"/>
        <v>modules/cybermancy/assets/icons/cybernetics/oculus-base-unit.webp</v>
      </c>
      <c r="H91" t="str">
        <f t="shared" si="3"/>
        <v>Oculus™ Base Unit</v>
      </c>
      <c r="I91" t="s">
        <v>59</v>
      </c>
      <c r="J91" t="s">
        <v>38</v>
      </c>
      <c r="M91" s="20"/>
      <c r="N91" s="20"/>
      <c r="O91" s="20"/>
      <c r="P91" s="20"/>
      <c r="Q91" t="s">
        <v>3051</v>
      </c>
      <c r="R91" t="s">
        <v>3301</v>
      </c>
      <c r="S91" s="20" t="s">
        <v>3244</v>
      </c>
      <c r="U91" s="20"/>
      <c r="V91" s="20"/>
    </row>
    <row r="92" spans="1:23" ht="43.5" x14ac:dyDescent="0.35">
      <c r="A92" t="s">
        <v>3273</v>
      </c>
      <c r="B92" t="s">
        <v>1227</v>
      </c>
      <c r="C92" s="25" t="s">
        <v>3615</v>
      </c>
      <c r="D92" t="s">
        <v>3512</v>
      </c>
      <c r="E92">
        <v>1</v>
      </c>
      <c r="F92" t="s">
        <v>3404</v>
      </c>
      <c r="G92" t="str">
        <f t="shared" si="2"/>
        <v>modules/cybermancy/assets/icons/cybernetics/oculus-eagle-eye.webp</v>
      </c>
      <c r="H92" t="str">
        <f t="shared" si="3"/>
        <v>Oculus™ Eagle Eye</v>
      </c>
      <c r="I92" t="s">
        <v>59</v>
      </c>
      <c r="J92" t="s">
        <v>37</v>
      </c>
      <c r="K92" t="s">
        <v>3023</v>
      </c>
      <c r="M92" s="20"/>
      <c r="N92" s="20"/>
      <c r="O92" s="20"/>
      <c r="P92" s="20"/>
      <c r="Q92" t="s">
        <v>3051</v>
      </c>
      <c r="R92" t="s">
        <v>3303</v>
      </c>
      <c r="S92" s="20" t="s">
        <v>3244</v>
      </c>
      <c r="U92" s="20"/>
      <c r="V92" s="20"/>
      <c r="W92" t="s">
        <v>1227</v>
      </c>
    </row>
    <row r="93" spans="1:23" ht="43.5" x14ac:dyDescent="0.35">
      <c r="A93" t="s">
        <v>3282</v>
      </c>
      <c r="B93" t="s">
        <v>1227</v>
      </c>
      <c r="C93" s="25" t="s">
        <v>3616</v>
      </c>
      <c r="D93" t="s">
        <v>3513</v>
      </c>
      <c r="E93">
        <v>1</v>
      </c>
      <c r="F93" t="s">
        <v>3374</v>
      </c>
      <c r="G93" t="str">
        <f t="shared" si="2"/>
        <v>modules/cybermancy/assets/icons/cybernetics/caracal-ears.webp</v>
      </c>
      <c r="H93" t="str">
        <f t="shared" si="3"/>
        <v>Caracal Ears</v>
      </c>
      <c r="I93" t="s">
        <v>59</v>
      </c>
      <c r="J93" t="s">
        <v>38</v>
      </c>
      <c r="M93" s="20"/>
      <c r="N93" s="20"/>
      <c r="O93" s="20"/>
      <c r="P93" s="20"/>
      <c r="Q93" t="s">
        <v>3052</v>
      </c>
      <c r="R93" t="s">
        <v>3298</v>
      </c>
      <c r="S93" s="20" t="s">
        <v>3244</v>
      </c>
      <c r="U93" s="20"/>
      <c r="V93" s="20"/>
      <c r="W93" t="s">
        <v>1227</v>
      </c>
    </row>
    <row r="94" spans="1:23" ht="43.5" x14ac:dyDescent="0.35">
      <c r="A94" t="s">
        <v>3278</v>
      </c>
      <c r="B94" t="s">
        <v>1227</v>
      </c>
      <c r="C94" s="25" t="s">
        <v>3617</v>
      </c>
      <c r="D94" t="s">
        <v>3514</v>
      </c>
      <c r="E94">
        <v>1</v>
      </c>
      <c r="F94" t="s">
        <v>3405</v>
      </c>
      <c r="G94" t="str">
        <f t="shared" si="2"/>
        <v>modules/cybermancy/assets/icons/cybernetics/oculus-palette.webp</v>
      </c>
      <c r="H94" t="str">
        <f t="shared" si="3"/>
        <v>Oculus™ Palette</v>
      </c>
      <c r="I94" t="s">
        <v>59</v>
      </c>
      <c r="J94" t="s">
        <v>37</v>
      </c>
      <c r="K94" t="s">
        <v>3023</v>
      </c>
      <c r="M94" s="20"/>
      <c r="N94" s="20"/>
      <c r="O94" s="20"/>
      <c r="P94" s="20"/>
      <c r="Q94" t="s">
        <v>3051</v>
      </c>
      <c r="R94" t="s">
        <v>3300</v>
      </c>
      <c r="S94" s="20" t="s">
        <v>3244</v>
      </c>
      <c r="U94" s="20"/>
      <c r="V94" s="20"/>
      <c r="W94" t="s">
        <v>1227</v>
      </c>
    </row>
    <row r="95" spans="1:23" ht="29" x14ac:dyDescent="0.35">
      <c r="A95" t="s">
        <v>3277</v>
      </c>
      <c r="B95" t="s">
        <v>1227</v>
      </c>
      <c r="C95" s="25" t="s">
        <v>3618</v>
      </c>
      <c r="D95" t="s">
        <v>3515</v>
      </c>
      <c r="E95">
        <v>1</v>
      </c>
      <c r="F95" t="s">
        <v>3406</v>
      </c>
      <c r="G95" t="str">
        <f t="shared" si="2"/>
        <v>modules/cybermancy/assets/icons/cybernetics/oculus-spectra.webp</v>
      </c>
      <c r="H95" t="str">
        <f t="shared" si="3"/>
        <v>Oculus™ Spectra</v>
      </c>
      <c r="I95" t="s">
        <v>59</v>
      </c>
      <c r="J95" t="s">
        <v>38</v>
      </c>
      <c r="M95" s="20"/>
      <c r="N95" s="20"/>
      <c r="O95" s="20"/>
      <c r="P95" s="20"/>
      <c r="Q95" t="s">
        <v>3051</v>
      </c>
      <c r="R95" t="s">
        <v>3301</v>
      </c>
      <c r="S95" s="20" t="s">
        <v>3244</v>
      </c>
      <c r="U95" s="20"/>
      <c r="V95" s="20"/>
      <c r="W95" t="s">
        <v>1227</v>
      </c>
    </row>
    <row r="96" spans="1:23" ht="43.5" x14ac:dyDescent="0.35">
      <c r="A96" t="s">
        <v>3275</v>
      </c>
      <c r="B96" t="s">
        <v>1227</v>
      </c>
      <c r="C96" s="25" t="s">
        <v>3619</v>
      </c>
      <c r="D96" t="s">
        <v>3516</v>
      </c>
      <c r="E96">
        <v>2</v>
      </c>
      <c r="F96" t="s">
        <v>3407</v>
      </c>
      <c r="G96" t="str">
        <f t="shared" si="2"/>
        <v>modules/cybermancy/assets/icons/cybernetics/oculus-witch-eye.webp</v>
      </c>
      <c r="H96" t="str">
        <f t="shared" si="3"/>
        <v>Oculus™ Witch Eye</v>
      </c>
      <c r="I96" t="s">
        <v>59</v>
      </c>
      <c r="J96" t="s">
        <v>37</v>
      </c>
      <c r="K96" t="s">
        <v>3023</v>
      </c>
      <c r="M96" s="20"/>
      <c r="N96" s="20"/>
      <c r="O96" s="20"/>
      <c r="P96" s="20"/>
      <c r="Q96" t="s">
        <v>3053</v>
      </c>
      <c r="R96" t="s">
        <v>3300</v>
      </c>
      <c r="S96" s="20" t="s">
        <v>3244</v>
      </c>
      <c r="U96" s="20"/>
      <c r="V96" s="20"/>
      <c r="W96" t="s">
        <v>1227</v>
      </c>
    </row>
    <row r="97" spans="1:23" ht="43.5" x14ac:dyDescent="0.35">
      <c r="A97" t="s">
        <v>3276</v>
      </c>
      <c r="B97" t="s">
        <v>1227</v>
      </c>
      <c r="C97" s="25" t="s">
        <v>3620</v>
      </c>
      <c r="D97" t="s">
        <v>3517</v>
      </c>
      <c r="E97">
        <v>2</v>
      </c>
      <c r="F97" t="s">
        <v>3408</v>
      </c>
      <c r="G97" t="str">
        <f t="shared" si="2"/>
        <v>modules/cybermancy/assets/icons/cybernetics/oculus-allure-eye.webp</v>
      </c>
      <c r="H97" t="str">
        <f t="shared" si="3"/>
        <v>Oculus™ Allure Eye</v>
      </c>
      <c r="I97" t="s">
        <v>59</v>
      </c>
      <c r="J97" t="s">
        <v>37</v>
      </c>
      <c r="K97" t="s">
        <v>3023</v>
      </c>
      <c r="M97" s="20"/>
      <c r="N97" s="20"/>
      <c r="O97" s="20"/>
      <c r="P97" s="20"/>
      <c r="Q97" t="s">
        <v>3053</v>
      </c>
      <c r="R97" t="s">
        <v>3303</v>
      </c>
      <c r="S97" s="20" t="s">
        <v>3244</v>
      </c>
      <c r="U97" s="20"/>
      <c r="V97" s="20"/>
      <c r="W97" t="s">
        <v>1227</v>
      </c>
    </row>
    <row r="98" spans="1:23" ht="29" x14ac:dyDescent="0.35">
      <c r="A98" t="s">
        <v>3279</v>
      </c>
      <c r="B98" t="s">
        <v>1227</v>
      </c>
      <c r="C98" s="25" t="s">
        <v>3621</v>
      </c>
      <c r="D98" t="s">
        <v>3518</v>
      </c>
      <c r="E98">
        <v>2</v>
      </c>
      <c r="F98" t="s">
        <v>3409</v>
      </c>
      <c r="G98" t="str">
        <f t="shared" si="2"/>
        <v>modules/cybermancy/assets/icons/cybernetics/oculus-inspecter.webp</v>
      </c>
      <c r="H98" t="str">
        <f t="shared" si="3"/>
        <v>Oculus™ Inspecter</v>
      </c>
      <c r="I98" t="s">
        <v>59</v>
      </c>
      <c r="J98" t="s">
        <v>37</v>
      </c>
      <c r="K98" t="s">
        <v>3023</v>
      </c>
      <c r="M98" s="20"/>
      <c r="N98" s="20"/>
      <c r="O98" s="20"/>
      <c r="P98" s="20"/>
      <c r="Q98" t="s">
        <v>3053</v>
      </c>
      <c r="R98" t="s">
        <v>3301</v>
      </c>
      <c r="S98" s="20" t="s">
        <v>3244</v>
      </c>
      <c r="U98" s="20"/>
      <c r="V98" s="20"/>
      <c r="W98" t="s">
        <v>1227</v>
      </c>
    </row>
    <row r="99" spans="1:23" ht="29" x14ac:dyDescent="0.35">
      <c r="A99" t="s">
        <v>3280</v>
      </c>
      <c r="B99" t="s">
        <v>1227</v>
      </c>
      <c r="C99" s="4" t="s">
        <v>3622</v>
      </c>
      <c r="D99" t="s">
        <v>3519</v>
      </c>
      <c r="E99">
        <v>1</v>
      </c>
      <c r="F99" t="s">
        <v>3410</v>
      </c>
      <c r="G99" t="str">
        <f t="shared" si="2"/>
        <v>modules/cybermancy/assets/icons/cybernetics/brainiac-base-unit.webp</v>
      </c>
      <c r="H99" t="str">
        <f t="shared" si="3"/>
        <v>Brainiac™ Base Unit</v>
      </c>
      <c r="I99" t="s">
        <v>59</v>
      </c>
      <c r="J99" t="s">
        <v>38</v>
      </c>
      <c r="M99" s="20"/>
      <c r="N99" s="20"/>
      <c r="O99" s="20"/>
      <c r="P99" s="20"/>
      <c r="Q99" t="s">
        <v>3048</v>
      </c>
      <c r="R99" t="s">
        <v>3299</v>
      </c>
      <c r="S99" s="20" t="s">
        <v>3244</v>
      </c>
      <c r="U99" s="20"/>
      <c r="V99" s="20"/>
      <c r="W99" t="s">
        <v>1227</v>
      </c>
    </row>
    <row r="100" spans="1:23" ht="72.5" x14ac:dyDescent="0.35">
      <c r="A100" t="s">
        <v>3281</v>
      </c>
      <c r="B100" t="s">
        <v>1227</v>
      </c>
      <c r="C100" s="25" t="s">
        <v>3623</v>
      </c>
      <c r="D100" t="s">
        <v>3520</v>
      </c>
      <c r="E100">
        <v>2</v>
      </c>
      <c r="F100" t="s">
        <v>3411</v>
      </c>
      <c r="G100" t="str">
        <f t="shared" si="2"/>
        <v>modules/cybermancy/assets/icons/cybernetics/brainiac-drone-control.webp</v>
      </c>
      <c r="H100" t="str">
        <f t="shared" si="3"/>
        <v>Brainiac™ Drone Control</v>
      </c>
      <c r="I100" t="s">
        <v>59</v>
      </c>
      <c r="J100" t="s">
        <v>38</v>
      </c>
      <c r="M100" s="20"/>
      <c r="N100" s="20"/>
      <c r="O100" s="20"/>
      <c r="P100" s="20"/>
      <c r="Q100" t="s">
        <v>3048</v>
      </c>
      <c r="R100" t="s">
        <v>3299</v>
      </c>
      <c r="S100" s="20" t="s">
        <v>3243</v>
      </c>
      <c r="U100" s="20"/>
      <c r="V100" s="20"/>
      <c r="W100" t="s">
        <v>1227</v>
      </c>
    </row>
    <row r="101" spans="1:23" ht="58" x14ac:dyDescent="0.35">
      <c r="A101" t="s">
        <v>3295</v>
      </c>
      <c r="B101" t="s">
        <v>1227</v>
      </c>
      <c r="C101" s="25" t="s">
        <v>3624</v>
      </c>
      <c r="D101" t="s">
        <v>3521</v>
      </c>
      <c r="E101">
        <v>1</v>
      </c>
      <c r="F101" t="s">
        <v>3375</v>
      </c>
      <c r="G101" t="str">
        <f t="shared" si="2"/>
        <v>modules/cybermancy/assets/icons/cybernetics/speed-feet-rollerblades.webp</v>
      </c>
      <c r="H101" t="str">
        <f t="shared" si="3"/>
        <v>Speed Feet rollerblades</v>
      </c>
      <c r="I101" t="s">
        <v>59</v>
      </c>
      <c r="J101" t="s">
        <v>37</v>
      </c>
      <c r="K101" t="s">
        <v>3023</v>
      </c>
      <c r="M101" s="20"/>
      <c r="N101" s="20"/>
      <c r="O101" s="20"/>
      <c r="P101" s="20"/>
      <c r="Q101" t="s">
        <v>3054</v>
      </c>
      <c r="R101" t="s">
        <v>3303</v>
      </c>
      <c r="S101" s="20" t="s">
        <v>3244</v>
      </c>
      <c r="U101" s="20"/>
      <c r="V101" s="20"/>
      <c r="W101" t="s">
        <v>1227</v>
      </c>
    </row>
    <row r="102" spans="1:23" ht="29" x14ac:dyDescent="0.35">
      <c r="A102" t="s">
        <v>3310</v>
      </c>
      <c r="B102" t="s">
        <v>1227</v>
      </c>
      <c r="C102" s="30" t="s">
        <v>3625</v>
      </c>
      <c r="D102" t="s">
        <v>3522</v>
      </c>
      <c r="E102">
        <v>1</v>
      </c>
      <c r="F102" t="s">
        <v>3412</v>
      </c>
      <c r="G102" t="str">
        <f t="shared" si="2"/>
        <v>modules/cybermancy/assets/icons/cybernetics/cyberarm-stiletto.webp</v>
      </c>
      <c r="H102" t="str">
        <f t="shared" si="3"/>
        <v>Cyberarm™ Stiletto</v>
      </c>
      <c r="I102" t="s">
        <v>20</v>
      </c>
      <c r="J102" t="s">
        <v>37</v>
      </c>
      <c r="M102" s="20"/>
      <c r="N102" s="20" t="s">
        <v>1329</v>
      </c>
      <c r="O102" s="20" t="s">
        <v>24</v>
      </c>
      <c r="P102" s="20" t="s">
        <v>25</v>
      </c>
      <c r="Q102" t="s">
        <v>3043</v>
      </c>
      <c r="R102" t="s">
        <v>3302</v>
      </c>
      <c r="S102" s="20" t="s">
        <v>3244</v>
      </c>
    </row>
    <row r="103" spans="1:23" ht="58" x14ac:dyDescent="0.35">
      <c r="A103" t="s">
        <v>3309</v>
      </c>
      <c r="B103" t="s">
        <v>1227</v>
      </c>
      <c r="C103" s="30" t="s">
        <v>3626</v>
      </c>
      <c r="D103" t="s">
        <v>3523</v>
      </c>
      <c r="E103">
        <v>1</v>
      </c>
      <c r="F103" t="s">
        <v>3413</v>
      </c>
      <c r="G103" t="str">
        <f t="shared" si="2"/>
        <v>modules/cybermancy/assets/icons/cybernetics/cyberarm-arsenal.webp</v>
      </c>
      <c r="H103" t="str">
        <f t="shared" si="3"/>
        <v>Cyberarm™ Arsenal</v>
      </c>
      <c r="I103" t="s">
        <v>20</v>
      </c>
      <c r="J103" t="s">
        <v>37</v>
      </c>
      <c r="M103" s="20"/>
      <c r="N103" s="20" t="s">
        <v>1322</v>
      </c>
      <c r="O103" s="20" t="s">
        <v>24</v>
      </c>
      <c r="P103" s="20" t="s">
        <v>25</v>
      </c>
      <c r="Q103" t="s">
        <v>3043</v>
      </c>
      <c r="R103" t="s">
        <v>3302</v>
      </c>
      <c r="S103" s="20" t="s">
        <v>3243</v>
      </c>
    </row>
    <row r="104" spans="1:23" ht="43.5" x14ac:dyDescent="0.35">
      <c r="A104" t="s">
        <v>3308</v>
      </c>
      <c r="B104" t="s">
        <v>1227</v>
      </c>
      <c r="C104" s="31" t="s">
        <v>3627</v>
      </c>
      <c r="D104" t="s">
        <v>3524</v>
      </c>
      <c r="E104">
        <v>1</v>
      </c>
      <c r="F104" t="s">
        <v>3414</v>
      </c>
      <c r="G104" t="str">
        <f t="shared" si="2"/>
        <v>modules/cybermancy/assets/icons/cybernetics/cyberarm-monowhip.webp</v>
      </c>
      <c r="H104" t="str">
        <f t="shared" si="3"/>
        <v>Cyberarm™ Monowhip</v>
      </c>
      <c r="I104" t="s">
        <v>20</v>
      </c>
      <c r="J104" t="s">
        <v>37</v>
      </c>
      <c r="M104" s="20"/>
      <c r="N104" s="20" t="s">
        <v>1331</v>
      </c>
      <c r="O104" s="20" t="s">
        <v>24</v>
      </c>
      <c r="P104" s="20" t="s">
        <v>25</v>
      </c>
      <c r="Q104" t="s">
        <v>3043</v>
      </c>
      <c r="R104" t="s">
        <v>3302</v>
      </c>
      <c r="S104" s="20" t="s">
        <v>3244</v>
      </c>
    </row>
    <row r="105" spans="1:23" x14ac:dyDescent="0.35">
      <c r="E105" s="20"/>
    </row>
    <row r="106" spans="1:23" x14ac:dyDescent="0.35">
      <c r="E106" s="20"/>
    </row>
    <row r="107" spans="1:23" x14ac:dyDescent="0.35">
      <c r="E107"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2F37-BC43-48BE-AB13-E3113803BE91}">
  <dimension ref="A1:M21"/>
  <sheetViews>
    <sheetView zoomScale="145" zoomScaleNormal="145" workbookViewId="0">
      <selection activeCell="J22" sqref="J22"/>
    </sheetView>
  </sheetViews>
  <sheetFormatPr defaultColWidth="20.26953125" defaultRowHeight="14.5" x14ac:dyDescent="0.35"/>
  <cols>
    <col min="3" max="3" width="52.36328125" style="4" customWidth="1"/>
    <col min="4" max="4" width="10.453125" customWidth="1"/>
    <col min="5" max="5" width="30.08984375" customWidth="1"/>
    <col min="6" max="6" width="55.1796875" customWidth="1"/>
  </cols>
  <sheetData>
    <row r="1" spans="1:13" s="26" customFormat="1" x14ac:dyDescent="0.35">
      <c r="A1" s="26" t="s">
        <v>0</v>
      </c>
      <c r="B1" s="26" t="s">
        <v>1</v>
      </c>
      <c r="C1" s="27" t="s">
        <v>3</v>
      </c>
      <c r="D1" s="26" t="s">
        <v>4</v>
      </c>
      <c r="E1" s="26" t="s">
        <v>3416</v>
      </c>
      <c r="F1" s="26" t="s">
        <v>2</v>
      </c>
      <c r="G1" s="26" t="s">
        <v>2947</v>
      </c>
      <c r="H1" s="26" t="s">
        <v>2950</v>
      </c>
      <c r="I1" s="29" t="s">
        <v>3638</v>
      </c>
      <c r="J1" s="26" t="s">
        <v>3642</v>
      </c>
      <c r="K1" s="26" t="s">
        <v>3648</v>
      </c>
      <c r="L1" s="26" t="s">
        <v>3689</v>
      </c>
      <c r="M1" s="26" t="s">
        <v>3771</v>
      </c>
    </row>
    <row r="2" spans="1:13" ht="43.5" x14ac:dyDescent="0.35">
      <c r="A2" t="s">
        <v>3690</v>
      </c>
      <c r="B2" t="s">
        <v>1227</v>
      </c>
      <c r="C2" s="4" t="s">
        <v>3751</v>
      </c>
      <c r="D2">
        <v>3</v>
      </c>
      <c r="E2" t="str">
        <f>LOWER(SUBSTITUTE(A2, " ", "-"))</f>
        <v>black-ice</v>
      </c>
      <c r="F2" t="str">
        <f>"modules/cybermancy/assets/icons/ice/" &amp; E2 &amp; ".webp"</f>
        <v>modules/cybermancy/assets/icons/ice/black-ice.webp</v>
      </c>
      <c r="G2" t="s">
        <v>3690</v>
      </c>
      <c r="H2" t="s">
        <v>59</v>
      </c>
      <c r="I2" t="s">
        <v>3640</v>
      </c>
      <c r="J2" t="s">
        <v>3691</v>
      </c>
      <c r="K2" t="s">
        <v>3691</v>
      </c>
      <c r="L2" t="s">
        <v>3692</v>
      </c>
      <c r="M2" t="s">
        <v>3731</v>
      </c>
    </row>
    <row r="3" spans="1:13" ht="58" x14ac:dyDescent="0.35">
      <c r="A3" t="s">
        <v>3693</v>
      </c>
      <c r="B3" t="s">
        <v>1227</v>
      </c>
      <c r="C3" s="4" t="s">
        <v>3752</v>
      </c>
      <c r="D3">
        <v>2</v>
      </c>
      <c r="E3" t="str">
        <f t="shared" ref="E3:E21" si="0">LOWER(SUBSTITUTE(A3, " ", "-"))</f>
        <v>tar-pit</v>
      </c>
      <c r="F3" t="str">
        <f t="shared" ref="F3:F21" si="1">"modules/cybermancy/assets/icons/ice/" &amp; E3 &amp; ".webp"</f>
        <v>modules/cybermancy/assets/icons/ice/tar-pit.webp</v>
      </c>
      <c r="G3" t="s">
        <v>3693</v>
      </c>
      <c r="H3" t="s">
        <v>59</v>
      </c>
      <c r="I3" t="s">
        <v>3639</v>
      </c>
      <c r="J3" t="s">
        <v>3691</v>
      </c>
      <c r="K3" t="s">
        <v>3691</v>
      </c>
      <c r="L3" t="s">
        <v>3694</v>
      </c>
      <c r="M3" t="s">
        <v>3732</v>
      </c>
    </row>
    <row r="4" spans="1:13" ht="58" x14ac:dyDescent="0.35">
      <c r="A4" t="s">
        <v>3695</v>
      </c>
      <c r="B4" t="s">
        <v>1227</v>
      </c>
      <c r="C4" s="4" t="s">
        <v>3753</v>
      </c>
      <c r="D4">
        <v>2</v>
      </c>
      <c r="E4" t="str">
        <f t="shared" si="0"/>
        <v>brainstorm</v>
      </c>
      <c r="F4" t="str">
        <f t="shared" si="1"/>
        <v>modules/cybermancy/assets/icons/ice/brainstorm.webp</v>
      </c>
      <c r="G4" t="s">
        <v>3695</v>
      </c>
      <c r="H4" t="s">
        <v>59</v>
      </c>
      <c r="I4" t="s">
        <v>3641</v>
      </c>
      <c r="J4" t="s">
        <v>3691</v>
      </c>
      <c r="K4" t="s">
        <v>3691</v>
      </c>
      <c r="L4" t="s">
        <v>3696</v>
      </c>
      <c r="M4" t="s">
        <v>3733</v>
      </c>
    </row>
    <row r="5" spans="1:13" ht="43.5" x14ac:dyDescent="0.35">
      <c r="A5" t="s">
        <v>3697</v>
      </c>
      <c r="B5" t="s">
        <v>1227</v>
      </c>
      <c r="C5" s="4" t="s">
        <v>3754</v>
      </c>
      <c r="D5">
        <v>1</v>
      </c>
      <c r="E5" t="str">
        <f t="shared" si="0"/>
        <v>data-hound</v>
      </c>
      <c r="F5" t="str">
        <f t="shared" si="1"/>
        <v>modules/cybermancy/assets/icons/ice/data-hound.webp</v>
      </c>
      <c r="G5" t="s">
        <v>3697</v>
      </c>
      <c r="H5" t="s">
        <v>59</v>
      </c>
      <c r="I5" t="s">
        <v>3639</v>
      </c>
      <c r="J5" t="s">
        <v>3691</v>
      </c>
      <c r="K5" t="s">
        <v>3691</v>
      </c>
      <c r="L5" t="s">
        <v>3698</v>
      </c>
      <c r="M5" t="s">
        <v>3734</v>
      </c>
    </row>
    <row r="6" spans="1:13" ht="43.5" x14ac:dyDescent="0.35">
      <c r="A6" t="s">
        <v>3699</v>
      </c>
      <c r="B6" t="s">
        <v>1227</v>
      </c>
      <c r="C6" s="4" t="s">
        <v>3755</v>
      </c>
      <c r="D6">
        <v>2</v>
      </c>
      <c r="E6" t="str">
        <f t="shared" si="0"/>
        <v>mirror-maze</v>
      </c>
      <c r="F6" t="str">
        <f t="shared" si="1"/>
        <v>modules/cybermancy/assets/icons/ice/mirror-maze.webp</v>
      </c>
      <c r="G6" t="s">
        <v>3699</v>
      </c>
      <c r="H6" t="s">
        <v>59</v>
      </c>
      <c r="I6" t="s">
        <v>3641</v>
      </c>
      <c r="J6" t="s">
        <v>3691</v>
      </c>
      <c r="K6" t="s">
        <v>3691</v>
      </c>
      <c r="L6" t="s">
        <v>3700</v>
      </c>
      <c r="M6" t="s">
        <v>3735</v>
      </c>
    </row>
    <row r="7" spans="1:13" ht="43.5" x14ac:dyDescent="0.35">
      <c r="A7" t="s">
        <v>3701</v>
      </c>
      <c r="B7" t="s">
        <v>1227</v>
      </c>
      <c r="C7" s="4" t="s">
        <v>3756</v>
      </c>
      <c r="D7">
        <v>3</v>
      </c>
      <c r="E7" t="str">
        <f t="shared" si="0"/>
        <v>kraken-ice</v>
      </c>
      <c r="F7" t="str">
        <f t="shared" si="1"/>
        <v>modules/cybermancy/assets/icons/ice/kraken-ice.webp</v>
      </c>
      <c r="G7" t="s">
        <v>3701</v>
      </c>
      <c r="H7" t="s">
        <v>59</v>
      </c>
      <c r="I7" t="s">
        <v>3640</v>
      </c>
      <c r="J7" t="s">
        <v>3691</v>
      </c>
      <c r="K7" t="s">
        <v>3691</v>
      </c>
      <c r="L7" t="s">
        <v>3702</v>
      </c>
      <c r="M7" t="s">
        <v>3736</v>
      </c>
    </row>
    <row r="8" spans="1:13" ht="43.5" x14ac:dyDescent="0.35">
      <c r="A8" t="s">
        <v>3703</v>
      </c>
      <c r="B8" t="s">
        <v>1227</v>
      </c>
      <c r="C8" s="4" t="s">
        <v>3757</v>
      </c>
      <c r="D8">
        <v>2</v>
      </c>
      <c r="E8" t="str">
        <f t="shared" si="0"/>
        <v>siren</v>
      </c>
      <c r="F8" t="str">
        <f t="shared" si="1"/>
        <v>modules/cybermancy/assets/icons/ice/siren.webp</v>
      </c>
      <c r="G8" t="s">
        <v>3703</v>
      </c>
      <c r="H8" t="s">
        <v>59</v>
      </c>
      <c r="I8" t="s">
        <v>3639</v>
      </c>
      <c r="J8" t="s">
        <v>3691</v>
      </c>
      <c r="K8" t="s">
        <v>3691</v>
      </c>
      <c r="L8" t="s">
        <v>3704</v>
      </c>
      <c r="M8" t="s">
        <v>3737</v>
      </c>
    </row>
    <row r="9" spans="1:13" ht="43.5" x14ac:dyDescent="0.35">
      <c r="A9" t="s">
        <v>3705</v>
      </c>
      <c r="B9" t="s">
        <v>1227</v>
      </c>
      <c r="C9" s="4" t="s">
        <v>3758</v>
      </c>
      <c r="D9">
        <v>3</v>
      </c>
      <c r="E9" t="str">
        <f t="shared" si="0"/>
        <v>firewall-hydra</v>
      </c>
      <c r="F9" t="str">
        <f t="shared" si="1"/>
        <v>modules/cybermancy/assets/icons/ice/firewall-hydra.webp</v>
      </c>
      <c r="G9" t="s">
        <v>3705</v>
      </c>
      <c r="H9" t="s">
        <v>59</v>
      </c>
      <c r="I9" t="s">
        <v>3639</v>
      </c>
      <c r="J9" t="s">
        <v>3691</v>
      </c>
      <c r="K9" t="s">
        <v>3691</v>
      </c>
      <c r="L9" t="s">
        <v>3706</v>
      </c>
      <c r="M9" t="s">
        <v>3738</v>
      </c>
    </row>
    <row r="10" spans="1:13" ht="43.5" x14ac:dyDescent="0.35">
      <c r="A10" t="s">
        <v>3707</v>
      </c>
      <c r="B10" t="s">
        <v>1227</v>
      </c>
      <c r="C10" s="4" t="s">
        <v>3759</v>
      </c>
      <c r="D10">
        <v>1</v>
      </c>
      <c r="E10" t="str">
        <f t="shared" si="0"/>
        <v>sleaze-gate</v>
      </c>
      <c r="F10" t="str">
        <f t="shared" si="1"/>
        <v>modules/cybermancy/assets/icons/ice/sleaze-gate.webp</v>
      </c>
      <c r="G10" t="s">
        <v>3707</v>
      </c>
      <c r="H10" t="s">
        <v>59</v>
      </c>
      <c r="I10" t="s">
        <v>3641</v>
      </c>
      <c r="J10" t="s">
        <v>3691</v>
      </c>
      <c r="K10" t="s">
        <v>3691</v>
      </c>
      <c r="L10" t="s">
        <v>3708</v>
      </c>
      <c r="M10" t="s">
        <v>3739</v>
      </c>
    </row>
    <row r="11" spans="1:13" ht="43.5" x14ac:dyDescent="0.35">
      <c r="A11" t="s">
        <v>3709</v>
      </c>
      <c r="B11" t="s">
        <v>1227</v>
      </c>
      <c r="C11" s="4" t="s">
        <v>3760</v>
      </c>
      <c r="D11">
        <v>2</v>
      </c>
      <c r="E11" t="str">
        <f t="shared" si="0"/>
        <v>grinder</v>
      </c>
      <c r="F11" t="str">
        <f t="shared" si="1"/>
        <v>modules/cybermancy/assets/icons/ice/grinder.webp</v>
      </c>
      <c r="G11" t="s">
        <v>3709</v>
      </c>
      <c r="H11" t="s">
        <v>59</v>
      </c>
      <c r="I11" t="s">
        <v>3639</v>
      </c>
      <c r="J11" t="s">
        <v>3691</v>
      </c>
      <c r="K11" t="s">
        <v>3691</v>
      </c>
      <c r="L11" t="s">
        <v>3710</v>
      </c>
      <c r="M11" t="s">
        <v>3740</v>
      </c>
    </row>
    <row r="12" spans="1:13" ht="43.5" x14ac:dyDescent="0.35">
      <c r="A12" t="s">
        <v>3711</v>
      </c>
      <c r="B12" t="s">
        <v>1227</v>
      </c>
      <c r="C12" s="4" t="s">
        <v>3761</v>
      </c>
      <c r="D12">
        <v>3</v>
      </c>
      <c r="E12" t="str">
        <f t="shared" si="0"/>
        <v>zero-mirror</v>
      </c>
      <c r="F12" t="str">
        <f t="shared" si="1"/>
        <v>modules/cybermancy/assets/icons/ice/zero-mirror.webp</v>
      </c>
      <c r="G12" t="s">
        <v>3711</v>
      </c>
      <c r="H12" t="s">
        <v>59</v>
      </c>
      <c r="I12" t="s">
        <v>3639</v>
      </c>
      <c r="J12" t="s">
        <v>3691</v>
      </c>
      <c r="K12" t="s">
        <v>3691</v>
      </c>
      <c r="L12" t="s">
        <v>3712</v>
      </c>
      <c r="M12" t="s">
        <v>3741</v>
      </c>
    </row>
    <row r="13" spans="1:13" ht="43.5" x14ac:dyDescent="0.35">
      <c r="A13" t="s">
        <v>3713</v>
      </c>
      <c r="B13" t="s">
        <v>1227</v>
      </c>
      <c r="C13" s="4" t="s">
        <v>3762</v>
      </c>
      <c r="D13">
        <v>2</v>
      </c>
      <c r="E13" t="str">
        <f t="shared" si="0"/>
        <v>frostline</v>
      </c>
      <c r="F13" t="str">
        <f t="shared" si="1"/>
        <v>modules/cybermancy/assets/icons/ice/frostline.webp</v>
      </c>
      <c r="G13" t="s">
        <v>3713</v>
      </c>
      <c r="H13" t="s">
        <v>59</v>
      </c>
      <c r="I13" t="s">
        <v>3639</v>
      </c>
      <c r="J13" t="s">
        <v>3691</v>
      </c>
      <c r="K13" t="s">
        <v>3691</v>
      </c>
      <c r="L13" t="s">
        <v>3714</v>
      </c>
      <c r="M13" t="s">
        <v>3742</v>
      </c>
    </row>
    <row r="14" spans="1:13" ht="58" x14ac:dyDescent="0.35">
      <c r="A14" t="s">
        <v>3715</v>
      </c>
      <c r="B14" t="s">
        <v>1227</v>
      </c>
      <c r="C14" s="4" t="s">
        <v>3763</v>
      </c>
      <c r="D14">
        <v>3</v>
      </c>
      <c r="E14" t="str">
        <f t="shared" si="0"/>
        <v>daemon-host</v>
      </c>
      <c r="F14" t="str">
        <f t="shared" si="1"/>
        <v>modules/cybermancy/assets/icons/ice/daemon-host.webp</v>
      </c>
      <c r="G14" t="s">
        <v>3715</v>
      </c>
      <c r="H14" t="s">
        <v>59</v>
      </c>
      <c r="I14" t="s">
        <v>3640</v>
      </c>
      <c r="J14" t="s">
        <v>3691</v>
      </c>
      <c r="K14" t="s">
        <v>3691</v>
      </c>
      <c r="L14" t="s">
        <v>3716</v>
      </c>
      <c r="M14" t="s">
        <v>3743</v>
      </c>
    </row>
    <row r="15" spans="1:13" ht="43.5" x14ac:dyDescent="0.35">
      <c r="A15" t="s">
        <v>3717</v>
      </c>
      <c r="B15" t="s">
        <v>1227</v>
      </c>
      <c r="C15" s="4" t="s">
        <v>3764</v>
      </c>
      <c r="D15">
        <v>2</v>
      </c>
      <c r="E15" t="str">
        <f t="shared" si="0"/>
        <v>scrambler-field</v>
      </c>
      <c r="F15" t="str">
        <f t="shared" si="1"/>
        <v>modules/cybermancy/assets/icons/ice/scrambler-field.webp</v>
      </c>
      <c r="G15" t="s">
        <v>3717</v>
      </c>
      <c r="H15" t="s">
        <v>59</v>
      </c>
      <c r="I15" t="s">
        <v>3641</v>
      </c>
      <c r="J15" t="s">
        <v>3691</v>
      </c>
      <c r="K15" t="s">
        <v>3691</v>
      </c>
      <c r="L15" t="s">
        <v>3718</v>
      </c>
      <c r="M15" t="s">
        <v>3744</v>
      </c>
    </row>
    <row r="16" spans="1:13" ht="43.5" x14ac:dyDescent="0.35">
      <c r="A16" t="s">
        <v>3719</v>
      </c>
      <c r="B16" t="s">
        <v>1227</v>
      </c>
      <c r="C16" s="4" t="s">
        <v>3765</v>
      </c>
      <c r="D16">
        <v>2</v>
      </c>
      <c r="E16" t="str">
        <f t="shared" si="0"/>
        <v>eclipse-wall</v>
      </c>
      <c r="F16" t="str">
        <f t="shared" si="1"/>
        <v>modules/cybermancy/assets/icons/ice/eclipse-wall.webp</v>
      </c>
      <c r="G16" t="s">
        <v>3719</v>
      </c>
      <c r="H16" t="s">
        <v>59</v>
      </c>
      <c r="I16" t="s">
        <v>3639</v>
      </c>
      <c r="J16" t="s">
        <v>3691</v>
      </c>
      <c r="K16" t="s">
        <v>3691</v>
      </c>
      <c r="L16" t="s">
        <v>3720</v>
      </c>
      <c r="M16" t="s">
        <v>3745</v>
      </c>
    </row>
    <row r="17" spans="1:13" ht="43.5" x14ac:dyDescent="0.35">
      <c r="A17" t="s">
        <v>3721</v>
      </c>
      <c r="B17" t="s">
        <v>1227</v>
      </c>
      <c r="C17" s="4" t="s">
        <v>3766</v>
      </c>
      <c r="D17">
        <v>3</v>
      </c>
      <c r="E17" t="str">
        <f t="shared" si="0"/>
        <v>soulcatcher</v>
      </c>
      <c r="F17" t="str">
        <f t="shared" si="1"/>
        <v>modules/cybermancy/assets/icons/ice/soulcatcher.webp</v>
      </c>
      <c r="G17" t="s">
        <v>3721</v>
      </c>
      <c r="H17" t="s">
        <v>59</v>
      </c>
      <c r="I17" t="s">
        <v>3640</v>
      </c>
      <c r="J17" t="s">
        <v>3691</v>
      </c>
      <c r="K17" t="s">
        <v>3691</v>
      </c>
      <c r="L17" t="s">
        <v>3722</v>
      </c>
      <c r="M17" t="s">
        <v>3746</v>
      </c>
    </row>
    <row r="18" spans="1:13" ht="43.5" x14ac:dyDescent="0.35">
      <c r="A18" t="s">
        <v>3723</v>
      </c>
      <c r="B18" t="s">
        <v>1227</v>
      </c>
      <c r="C18" s="4" t="s">
        <v>3767</v>
      </c>
      <c r="D18">
        <v>3</v>
      </c>
      <c r="E18" t="str">
        <f t="shared" si="0"/>
        <v>overseer-protocol</v>
      </c>
      <c r="F18" t="str">
        <f t="shared" si="1"/>
        <v>modules/cybermancy/assets/icons/ice/overseer-protocol.webp</v>
      </c>
      <c r="G18" t="s">
        <v>3723</v>
      </c>
      <c r="H18" t="s">
        <v>59</v>
      </c>
      <c r="I18" t="s">
        <v>3639</v>
      </c>
      <c r="J18" t="s">
        <v>3691</v>
      </c>
      <c r="K18" t="s">
        <v>3691</v>
      </c>
      <c r="L18" t="s">
        <v>3724</v>
      </c>
      <c r="M18" t="s">
        <v>3747</v>
      </c>
    </row>
    <row r="19" spans="1:13" ht="43.5" x14ac:dyDescent="0.35">
      <c r="A19" t="s">
        <v>3725</v>
      </c>
      <c r="B19" t="s">
        <v>1227</v>
      </c>
      <c r="C19" s="4" t="s">
        <v>3768</v>
      </c>
      <c r="D19">
        <v>1</v>
      </c>
      <c r="E19" t="str">
        <f t="shared" si="0"/>
        <v>ash-cloud</v>
      </c>
      <c r="F19" t="str">
        <f t="shared" si="1"/>
        <v>modules/cybermancy/assets/icons/ice/ash-cloud.webp</v>
      </c>
      <c r="G19" t="s">
        <v>3725</v>
      </c>
      <c r="H19" t="s">
        <v>59</v>
      </c>
      <c r="I19" t="s">
        <v>3641</v>
      </c>
      <c r="J19" t="s">
        <v>3691</v>
      </c>
      <c r="K19" t="s">
        <v>3691</v>
      </c>
      <c r="L19" t="s">
        <v>3726</v>
      </c>
      <c r="M19" t="s">
        <v>3748</v>
      </c>
    </row>
    <row r="20" spans="1:13" ht="43.5" x14ac:dyDescent="0.35">
      <c r="A20" t="s">
        <v>3727</v>
      </c>
      <c r="B20" t="s">
        <v>1227</v>
      </c>
      <c r="C20" s="4" t="s">
        <v>3769</v>
      </c>
      <c r="D20">
        <v>3</v>
      </c>
      <c r="E20" t="str">
        <f t="shared" si="0"/>
        <v>neural-ripper</v>
      </c>
      <c r="F20" t="str">
        <f t="shared" si="1"/>
        <v>modules/cybermancy/assets/icons/ice/neural-ripper.webp</v>
      </c>
      <c r="G20" t="s">
        <v>3727</v>
      </c>
      <c r="H20" t="s">
        <v>59</v>
      </c>
      <c r="I20" t="s">
        <v>3640</v>
      </c>
      <c r="J20" t="s">
        <v>3691</v>
      </c>
      <c r="K20" t="s">
        <v>3691</v>
      </c>
      <c r="L20" t="s">
        <v>3728</v>
      </c>
      <c r="M20" t="s">
        <v>3749</v>
      </c>
    </row>
    <row r="21" spans="1:13" ht="43.5" x14ac:dyDescent="0.35">
      <c r="A21" t="s">
        <v>3729</v>
      </c>
      <c r="B21" t="s">
        <v>1227</v>
      </c>
      <c r="C21" s="4" t="s">
        <v>3770</v>
      </c>
      <c r="D21">
        <v>4</v>
      </c>
      <c r="E21" t="str">
        <f t="shared" si="0"/>
        <v>heaven’s-gate</v>
      </c>
      <c r="F21" t="str">
        <f t="shared" si="1"/>
        <v>modules/cybermancy/assets/icons/ice/heaven’s-gate.webp</v>
      </c>
      <c r="G21" t="s">
        <v>3729</v>
      </c>
      <c r="H21" t="s">
        <v>59</v>
      </c>
      <c r="I21" t="s">
        <v>3684</v>
      </c>
      <c r="J21" t="s">
        <v>3691</v>
      </c>
      <c r="K21" t="s">
        <v>3691</v>
      </c>
      <c r="L21" t="s">
        <v>3730</v>
      </c>
      <c r="M21" t="s">
        <v>3750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C9BA-A28C-4118-8289-DF8F8614B9DC}">
  <dimension ref="A1:K14"/>
  <sheetViews>
    <sheetView zoomScale="130" zoomScaleNormal="130" workbookViewId="0">
      <selection activeCell="B2" sqref="B2:B14"/>
    </sheetView>
  </sheetViews>
  <sheetFormatPr defaultRowHeight="14.5" x14ac:dyDescent="0.35"/>
  <cols>
    <col min="1" max="1" width="18.6328125" bestFit="1" customWidth="1"/>
    <col min="2" max="2" width="11.6328125" bestFit="1" customWidth="1"/>
    <col min="3" max="3" width="104.6328125" style="4" bestFit="1" customWidth="1"/>
    <col min="4" max="4" width="3.54296875" bestFit="1" customWidth="1"/>
    <col min="5" max="5" width="19.08984375" bestFit="1" customWidth="1"/>
    <col min="6" max="6" width="37.36328125" customWidth="1"/>
    <col min="7" max="7" width="11" bestFit="1" customWidth="1"/>
    <col min="8" max="8" width="9.81640625" bestFit="1" customWidth="1"/>
    <col min="9" max="9" width="9.90625" customWidth="1"/>
    <col min="10" max="10" width="5.90625" bestFit="1" customWidth="1"/>
  </cols>
  <sheetData>
    <row r="1" spans="1:11" s="26" customFormat="1" ht="29" x14ac:dyDescent="0.35">
      <c r="A1" s="26" t="s">
        <v>0</v>
      </c>
      <c r="B1" s="26" t="s">
        <v>1</v>
      </c>
      <c r="C1" s="27" t="s">
        <v>3</v>
      </c>
      <c r="D1" s="26" t="s">
        <v>4</v>
      </c>
      <c r="E1" s="26" t="s">
        <v>3416</v>
      </c>
      <c r="F1" s="26" t="s">
        <v>2</v>
      </c>
      <c r="G1" s="26" t="s">
        <v>2947</v>
      </c>
      <c r="H1" s="26" t="s">
        <v>2950</v>
      </c>
      <c r="I1" s="29" t="s">
        <v>3638</v>
      </c>
      <c r="J1" s="26" t="s">
        <v>3642</v>
      </c>
      <c r="K1" s="26" t="s">
        <v>3648</v>
      </c>
    </row>
    <row r="2" spans="1:11" ht="43.5" x14ac:dyDescent="0.35">
      <c r="A2" t="s">
        <v>3631</v>
      </c>
      <c r="B2" t="s">
        <v>1225</v>
      </c>
      <c r="C2" s="4" t="s">
        <v>3772</v>
      </c>
      <c r="D2">
        <v>2</v>
      </c>
      <c r="E2" t="str">
        <f t="shared" ref="E2:E13" si="0">LOWER(SUBSTITUTE(A2, " ", "-"))</f>
        <v>smart-rounds</v>
      </c>
      <c r="F2" t="str">
        <f>"modules/cybermancy/assets/icons/consumables/ammo/" &amp; E2 &amp; ".webp"</f>
        <v>modules/cybermancy/assets/icons/consumables/ammo/smart-rounds.webp</v>
      </c>
      <c r="G2" t="s">
        <v>3631</v>
      </c>
      <c r="H2" t="s">
        <v>59</v>
      </c>
      <c r="I2" t="s">
        <v>3639</v>
      </c>
      <c r="J2" t="s">
        <v>3643</v>
      </c>
      <c r="K2" t="s">
        <v>3632</v>
      </c>
    </row>
    <row r="3" spans="1:11" ht="43.5" x14ac:dyDescent="0.35">
      <c r="A3" t="s">
        <v>3644</v>
      </c>
      <c r="B3" t="s">
        <v>1225</v>
      </c>
      <c r="C3" s="4" t="s">
        <v>3773</v>
      </c>
      <c r="D3">
        <v>2</v>
      </c>
      <c r="E3" t="str">
        <f t="shared" si="0"/>
        <v>emp-shells</v>
      </c>
      <c r="F3" t="str">
        <f t="shared" ref="F3:F14" si="1">"modules/cybermancy/assets/icons/consumables/ammo/" &amp; E3 &amp; ".webp"</f>
        <v>modules/cybermancy/assets/icons/consumables/ammo/emp-shells.webp</v>
      </c>
      <c r="G3" t="s">
        <v>3644</v>
      </c>
      <c r="H3" t="s">
        <v>59</v>
      </c>
      <c r="I3" t="s">
        <v>3640</v>
      </c>
      <c r="J3" t="s">
        <v>3643</v>
      </c>
      <c r="K3" t="s">
        <v>3632</v>
      </c>
    </row>
    <row r="4" spans="1:11" ht="43.5" x14ac:dyDescent="0.35">
      <c r="A4" t="s">
        <v>3637</v>
      </c>
      <c r="B4" t="s">
        <v>1225</v>
      </c>
      <c r="C4" s="4" t="s">
        <v>3774</v>
      </c>
      <c r="D4">
        <v>2</v>
      </c>
      <c r="E4" t="str">
        <f t="shared" si="0"/>
        <v>toxic-rounds</v>
      </c>
      <c r="F4" t="str">
        <f t="shared" si="1"/>
        <v>modules/cybermancy/assets/icons/consumables/ammo/toxic-rounds.webp</v>
      </c>
      <c r="G4" t="s">
        <v>3637</v>
      </c>
      <c r="H4" t="s">
        <v>59</v>
      </c>
      <c r="I4" t="s">
        <v>3641</v>
      </c>
      <c r="J4" t="s">
        <v>3643</v>
      </c>
      <c r="K4" t="s">
        <v>3632</v>
      </c>
    </row>
    <row r="5" spans="1:11" ht="43.5" x14ac:dyDescent="0.35">
      <c r="A5" t="s">
        <v>3636</v>
      </c>
      <c r="B5" t="s">
        <v>1225</v>
      </c>
      <c r="C5" s="4" t="s">
        <v>3775</v>
      </c>
      <c r="D5">
        <v>1</v>
      </c>
      <c r="E5" t="str">
        <f t="shared" si="0"/>
        <v>breeching-shells</v>
      </c>
      <c r="F5" t="str">
        <f t="shared" si="1"/>
        <v>modules/cybermancy/assets/icons/consumables/ammo/breeching-shells.webp</v>
      </c>
      <c r="G5" t="s">
        <v>3636</v>
      </c>
      <c r="H5" t="s">
        <v>59</v>
      </c>
      <c r="I5" t="s">
        <v>3640</v>
      </c>
      <c r="J5" t="s">
        <v>3643</v>
      </c>
      <c r="K5" t="s">
        <v>3632</v>
      </c>
    </row>
    <row r="6" spans="1:11" ht="43.5" x14ac:dyDescent="0.35">
      <c r="A6" t="s">
        <v>3633</v>
      </c>
      <c r="B6" t="s">
        <v>1225</v>
      </c>
      <c r="C6" s="4" t="s">
        <v>3776</v>
      </c>
      <c r="D6">
        <v>2</v>
      </c>
      <c r="E6" t="str">
        <f t="shared" si="0"/>
        <v>thermobaric-rounds</v>
      </c>
      <c r="F6" t="str">
        <f t="shared" si="1"/>
        <v>modules/cybermancy/assets/icons/consumables/ammo/thermobaric-rounds.webp</v>
      </c>
      <c r="G6" t="s">
        <v>3633</v>
      </c>
      <c r="H6" t="s">
        <v>59</v>
      </c>
      <c r="I6" t="s">
        <v>3640</v>
      </c>
      <c r="J6" t="s">
        <v>3643</v>
      </c>
      <c r="K6" t="s">
        <v>3632</v>
      </c>
    </row>
    <row r="7" spans="1:11" ht="43.5" x14ac:dyDescent="0.35">
      <c r="A7" t="s">
        <v>3645</v>
      </c>
      <c r="B7" t="s">
        <v>1225</v>
      </c>
      <c r="C7" s="4" t="s">
        <v>3777</v>
      </c>
      <c r="D7">
        <v>1</v>
      </c>
      <c r="E7" t="str">
        <f t="shared" si="0"/>
        <v>armor-piercing-rounds</v>
      </c>
      <c r="F7" t="str">
        <f t="shared" si="1"/>
        <v>modules/cybermancy/assets/icons/consumables/ammo/armor-piercing-rounds.webp</v>
      </c>
      <c r="G7" t="s">
        <v>3645</v>
      </c>
      <c r="H7" t="s">
        <v>59</v>
      </c>
      <c r="I7" t="s">
        <v>3641</v>
      </c>
      <c r="J7" t="s">
        <v>3643</v>
      </c>
      <c r="K7" t="s">
        <v>3632</v>
      </c>
    </row>
    <row r="8" spans="1:11" ht="43.5" x14ac:dyDescent="0.35">
      <c r="A8" t="s">
        <v>3646</v>
      </c>
      <c r="B8" t="s">
        <v>1225</v>
      </c>
      <c r="C8" s="4" t="s">
        <v>3778</v>
      </c>
      <c r="D8">
        <v>2</v>
      </c>
      <c r="E8" t="str">
        <f t="shared" si="0"/>
        <v>nanite-rounds</v>
      </c>
      <c r="F8" t="str">
        <f t="shared" si="1"/>
        <v>modules/cybermancy/assets/icons/consumables/ammo/nanite-rounds.webp</v>
      </c>
      <c r="G8" t="s">
        <v>3646</v>
      </c>
      <c r="H8" t="s">
        <v>59</v>
      </c>
      <c r="I8" t="s">
        <v>3639</v>
      </c>
      <c r="J8" t="s">
        <v>3643</v>
      </c>
      <c r="K8" t="s">
        <v>3632</v>
      </c>
    </row>
    <row r="9" spans="1:11" ht="43.5" x14ac:dyDescent="0.35">
      <c r="A9" t="s">
        <v>3647</v>
      </c>
      <c r="B9" t="s">
        <v>1225</v>
      </c>
      <c r="C9" s="4" t="s">
        <v>3779</v>
      </c>
      <c r="D9">
        <v>3</v>
      </c>
      <c r="E9" t="str">
        <f t="shared" si="0"/>
        <v>sonic-rounds</v>
      </c>
      <c r="F9" t="str">
        <f t="shared" si="1"/>
        <v>modules/cybermancy/assets/icons/consumables/ammo/sonic-rounds.webp</v>
      </c>
      <c r="G9" t="s">
        <v>3647</v>
      </c>
      <c r="H9" t="s">
        <v>59</v>
      </c>
      <c r="I9" t="s">
        <v>3639</v>
      </c>
      <c r="J9" t="s">
        <v>3643</v>
      </c>
      <c r="K9" t="s">
        <v>3632</v>
      </c>
    </row>
    <row r="10" spans="1:11" ht="43.5" x14ac:dyDescent="0.35">
      <c r="A10" t="s">
        <v>3634</v>
      </c>
      <c r="B10" t="s">
        <v>1225</v>
      </c>
      <c r="C10" s="4" t="s">
        <v>3780</v>
      </c>
      <c r="D10">
        <v>2</v>
      </c>
      <c r="E10" t="str">
        <f t="shared" si="0"/>
        <v>cryo-slugs</v>
      </c>
      <c r="F10" t="str">
        <f t="shared" si="1"/>
        <v>modules/cybermancy/assets/icons/consumables/ammo/cryo-slugs.webp</v>
      </c>
      <c r="G10" t="s">
        <v>3634</v>
      </c>
      <c r="H10" t="s">
        <v>59</v>
      </c>
      <c r="I10" t="s">
        <v>3639</v>
      </c>
      <c r="J10" t="s">
        <v>3643</v>
      </c>
      <c r="K10" t="s">
        <v>3632</v>
      </c>
    </row>
    <row r="11" spans="1:11" ht="43.5" x14ac:dyDescent="0.35">
      <c r="A11" t="s">
        <v>3635</v>
      </c>
      <c r="B11" t="s">
        <v>1225</v>
      </c>
      <c r="C11" s="4" t="s">
        <v>3781</v>
      </c>
      <c r="D11">
        <v>1</v>
      </c>
      <c r="E11" t="str">
        <f t="shared" si="0"/>
        <v>data-spike-rounds</v>
      </c>
      <c r="F11" t="str">
        <f t="shared" si="1"/>
        <v>modules/cybermancy/assets/icons/consumables/ammo/data-spike-rounds.webp</v>
      </c>
      <c r="G11" t="s">
        <v>3635</v>
      </c>
      <c r="H11" t="s">
        <v>59</v>
      </c>
      <c r="I11" t="s">
        <v>3639</v>
      </c>
      <c r="J11" t="s">
        <v>3643</v>
      </c>
      <c r="K11" t="s">
        <v>3632</v>
      </c>
    </row>
    <row r="12" spans="1:11" ht="43.5" x14ac:dyDescent="0.35">
      <c r="A12" t="s">
        <v>3687</v>
      </c>
      <c r="B12" t="s">
        <v>1225</v>
      </c>
      <c r="C12" s="4" t="s">
        <v>3782</v>
      </c>
      <c r="D12">
        <v>2</v>
      </c>
      <c r="E12" t="str">
        <f t="shared" si="0"/>
        <v>tracker-rounds</v>
      </c>
      <c r="F12" t="str">
        <f t="shared" si="1"/>
        <v>modules/cybermancy/assets/icons/consumables/ammo/tracker-rounds.webp</v>
      </c>
      <c r="G12" t="s">
        <v>3687</v>
      </c>
      <c r="H12" t="s">
        <v>59</v>
      </c>
      <c r="I12" t="s">
        <v>3640</v>
      </c>
      <c r="J12" t="s">
        <v>3643</v>
      </c>
      <c r="K12" t="s">
        <v>3632</v>
      </c>
    </row>
    <row r="13" spans="1:11" ht="43.5" x14ac:dyDescent="0.35">
      <c r="A13" t="s">
        <v>3686</v>
      </c>
      <c r="B13" t="s">
        <v>1225</v>
      </c>
      <c r="C13" s="4" t="s">
        <v>3783</v>
      </c>
      <c r="D13">
        <v>1</v>
      </c>
      <c r="E13" t="str">
        <f t="shared" si="0"/>
        <v>tracer-rounds</v>
      </c>
      <c r="F13" t="str">
        <f t="shared" si="1"/>
        <v>modules/cybermancy/assets/icons/consumables/ammo/tracer-rounds.webp</v>
      </c>
      <c r="G13" t="s">
        <v>3686</v>
      </c>
      <c r="H13" t="s">
        <v>59</v>
      </c>
      <c r="I13" t="s">
        <v>3640</v>
      </c>
      <c r="J13" t="s">
        <v>3643</v>
      </c>
      <c r="K13" t="s">
        <v>3632</v>
      </c>
    </row>
    <row r="14" spans="1:11" ht="43.5" x14ac:dyDescent="0.35">
      <c r="A14" t="s">
        <v>3661</v>
      </c>
      <c r="B14" t="s">
        <v>1225</v>
      </c>
      <c r="C14" s="4" t="s">
        <v>3784</v>
      </c>
      <c r="D14">
        <v>3</v>
      </c>
      <c r="E14" t="str">
        <f t="shared" ref="E14" si="2">LOWER(SUBSTITUTE(A14, " ", "-"))</f>
        <v>reactive-shrapnel-shells</v>
      </c>
      <c r="F14" t="str">
        <f t="shared" si="1"/>
        <v>modules/cybermancy/assets/icons/consumables/ammo/reactive-shrapnel-shells.webp</v>
      </c>
      <c r="G14" t="s">
        <v>3661</v>
      </c>
      <c r="H14" t="s">
        <v>59</v>
      </c>
      <c r="I14" t="s">
        <v>3640</v>
      </c>
      <c r="J14" t="s">
        <v>3643</v>
      </c>
      <c r="K14" t="s">
        <v>3632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1A024-869F-452E-8FA7-6850F3F5966C}">
  <dimension ref="A1:I21"/>
  <sheetViews>
    <sheetView zoomScale="115" zoomScaleNormal="115" workbookViewId="0">
      <selection activeCell="C42" sqref="C42"/>
    </sheetView>
  </sheetViews>
  <sheetFormatPr defaultRowHeight="14.5" x14ac:dyDescent="0.35"/>
  <cols>
    <col min="1" max="1" width="27.81640625" bestFit="1" customWidth="1"/>
    <col min="2" max="2" width="16.26953125" customWidth="1"/>
    <col min="3" max="3" width="103.08984375" style="4" customWidth="1"/>
    <col min="4" max="4" width="16.7265625" customWidth="1"/>
    <col min="5" max="5" width="25.7265625" customWidth="1"/>
    <col min="6" max="6" width="63.453125" customWidth="1"/>
  </cols>
  <sheetData>
    <row r="1" spans="1:9" s="26" customFormat="1" ht="29" x14ac:dyDescent="0.35">
      <c r="A1" s="26" t="s">
        <v>0</v>
      </c>
      <c r="B1" s="26" t="s">
        <v>1</v>
      </c>
      <c r="C1" s="27" t="s">
        <v>3</v>
      </c>
      <c r="D1" s="26" t="s">
        <v>4</v>
      </c>
      <c r="E1" s="26" t="s">
        <v>3416</v>
      </c>
      <c r="F1" s="26" t="s">
        <v>2</v>
      </c>
      <c r="G1" s="29" t="s">
        <v>3638</v>
      </c>
      <c r="H1" s="26" t="s">
        <v>3642</v>
      </c>
      <c r="I1" s="26" t="s">
        <v>3648</v>
      </c>
    </row>
    <row r="2" spans="1:9" ht="29" x14ac:dyDescent="0.35">
      <c r="A2" t="s">
        <v>3683</v>
      </c>
      <c r="B2" t="s">
        <v>1227</v>
      </c>
      <c r="C2" s="4" t="s">
        <v>3785</v>
      </c>
      <c r="D2">
        <v>1</v>
      </c>
      <c r="E2" t="s">
        <v>3681</v>
      </c>
      <c r="F2" t="str">
        <f>"modules/cybermancy/assets/icons/mods/" &amp; E2 &amp; ".webp"</f>
        <v>modules/cybermancy/assets/icons/mods/smartlink.webp</v>
      </c>
      <c r="G2" t="s">
        <v>3639</v>
      </c>
      <c r="H2" t="s">
        <v>16</v>
      </c>
      <c r="I2" t="s">
        <v>3651</v>
      </c>
    </row>
    <row r="3" spans="1:9" ht="43.5" x14ac:dyDescent="0.35">
      <c r="A3" t="s">
        <v>3085</v>
      </c>
      <c r="B3" t="s">
        <v>1227</v>
      </c>
      <c r="C3" s="4" t="s">
        <v>3786</v>
      </c>
      <c r="D3">
        <v>2</v>
      </c>
      <c r="E3" t="s">
        <v>3662</v>
      </c>
      <c r="F3" t="str">
        <f t="shared" ref="F3:F21" si="0">"modules/cybermancy/assets/icons/mods/" &amp; E3 &amp; ".webp"</f>
        <v>modules/cybermancy/assets/icons/mods/ballistic-enhancement-barrel.webp</v>
      </c>
      <c r="G3" t="s">
        <v>3640</v>
      </c>
      <c r="H3" t="s">
        <v>16</v>
      </c>
      <c r="I3" t="s">
        <v>3651</v>
      </c>
    </row>
    <row r="4" spans="1:9" x14ac:dyDescent="0.35">
      <c r="A4" t="s">
        <v>3650</v>
      </c>
      <c r="B4" t="s">
        <v>1227</v>
      </c>
      <c r="C4" s="4" t="s">
        <v>3787</v>
      </c>
      <c r="D4">
        <v>1</v>
      </c>
      <c r="E4" t="s">
        <v>3663</v>
      </c>
      <c r="F4" t="str">
        <f t="shared" si="0"/>
        <v>modules/cybermancy/assets/icons/mods/aim-assist.webp</v>
      </c>
      <c r="G4" t="s">
        <v>3639</v>
      </c>
      <c r="H4" t="s">
        <v>16</v>
      </c>
      <c r="I4" t="s">
        <v>3651</v>
      </c>
    </row>
    <row r="5" spans="1:9" x14ac:dyDescent="0.35">
      <c r="A5" t="s">
        <v>3089</v>
      </c>
      <c r="B5" t="s">
        <v>1227</v>
      </c>
      <c r="C5" s="4" t="s">
        <v>3788</v>
      </c>
      <c r="D5">
        <v>2</v>
      </c>
      <c r="E5" t="s">
        <v>3664</v>
      </c>
      <c r="F5" t="str">
        <f t="shared" si="0"/>
        <v>modules/cybermancy/assets/icons/mods/ballistic-servo-sight.webp</v>
      </c>
      <c r="G5" t="s">
        <v>3639</v>
      </c>
      <c r="H5" t="s">
        <v>16</v>
      </c>
      <c r="I5" t="s">
        <v>3651</v>
      </c>
    </row>
    <row r="6" spans="1:9" x14ac:dyDescent="0.35">
      <c r="A6" t="s">
        <v>3092</v>
      </c>
      <c r="B6" t="s">
        <v>1227</v>
      </c>
      <c r="C6" s="4" t="s">
        <v>3801</v>
      </c>
      <c r="D6">
        <v>3</v>
      </c>
      <c r="E6" t="s">
        <v>3665</v>
      </c>
      <c r="F6" t="str">
        <f t="shared" si="0"/>
        <v>modules/cybermancy/assets/icons/mods/shock-damping-frame.webp</v>
      </c>
      <c r="G6" t="s">
        <v>3641</v>
      </c>
      <c r="H6" t="s">
        <v>16</v>
      </c>
      <c r="I6" t="s">
        <v>3651</v>
      </c>
    </row>
    <row r="7" spans="1:9" x14ac:dyDescent="0.35">
      <c r="A7" t="s">
        <v>3682</v>
      </c>
      <c r="B7" t="s">
        <v>1227</v>
      </c>
      <c r="C7" s="4" t="s">
        <v>3789</v>
      </c>
      <c r="D7">
        <v>1</v>
      </c>
      <c r="E7" t="s">
        <v>3666</v>
      </c>
      <c r="F7" t="str">
        <f t="shared" si="0"/>
        <v>modules/cybermancy/assets/icons/mods/telescopic-sight-mki.webp</v>
      </c>
      <c r="G7" t="s">
        <v>3641</v>
      </c>
      <c r="H7" t="s">
        <v>16</v>
      </c>
      <c r="I7" t="s">
        <v>3651</v>
      </c>
    </row>
    <row r="8" spans="1:9" x14ac:dyDescent="0.35">
      <c r="A8" t="s">
        <v>3086</v>
      </c>
      <c r="B8" t="s">
        <v>1227</v>
      </c>
      <c r="C8" s="4" t="s">
        <v>3790</v>
      </c>
      <c r="D8">
        <v>2</v>
      </c>
      <c r="E8" t="s">
        <v>3667</v>
      </c>
      <c r="F8" t="str">
        <f t="shared" si="0"/>
        <v>modules/cybermancy/assets/icons/mods/reactive-ammo-loader.webp</v>
      </c>
      <c r="G8" t="s">
        <v>3639</v>
      </c>
      <c r="H8" t="s">
        <v>16</v>
      </c>
      <c r="I8" t="s">
        <v>3651</v>
      </c>
    </row>
    <row r="9" spans="1:9" x14ac:dyDescent="0.35">
      <c r="A9" t="s">
        <v>3649</v>
      </c>
      <c r="B9" t="s">
        <v>1227</v>
      </c>
      <c r="C9" s="32" t="s">
        <v>3791</v>
      </c>
      <c r="D9">
        <v>1</v>
      </c>
      <c r="E9" t="s">
        <v>3668</v>
      </c>
      <c r="F9" t="str">
        <f t="shared" si="0"/>
        <v>modules/cybermancy/assets/icons/mods/laser-sight.webp</v>
      </c>
      <c r="G9" t="s">
        <v>3640</v>
      </c>
      <c r="H9" t="s">
        <v>16</v>
      </c>
      <c r="I9" t="s">
        <v>3651</v>
      </c>
    </row>
    <row r="10" spans="1:9" x14ac:dyDescent="0.35">
      <c r="A10" t="s">
        <v>3652</v>
      </c>
      <c r="B10" t="s">
        <v>1227</v>
      </c>
      <c r="C10" t="s">
        <v>3802</v>
      </c>
      <c r="D10">
        <v>3</v>
      </c>
      <c r="E10" t="s">
        <v>3669</v>
      </c>
      <c r="F10" t="str">
        <f t="shared" si="0"/>
        <v>modules/cybermancy/assets/icons/mods/gyro-stabilizer.webp</v>
      </c>
      <c r="G10" t="s">
        <v>3641</v>
      </c>
      <c r="H10" t="s">
        <v>16</v>
      </c>
      <c r="I10" t="s">
        <v>3651</v>
      </c>
    </row>
    <row r="11" spans="1:9" x14ac:dyDescent="0.35">
      <c r="A11" t="s">
        <v>3653</v>
      </c>
      <c r="B11" t="s">
        <v>1227</v>
      </c>
      <c r="C11" t="s">
        <v>3792</v>
      </c>
      <c r="D11">
        <v>2</v>
      </c>
      <c r="E11" t="s">
        <v>3670</v>
      </c>
      <c r="F11" t="str">
        <f t="shared" si="0"/>
        <v>modules/cybermancy/assets/icons/mods/caseless-high-cap-mag.webp</v>
      </c>
      <c r="G11" t="s">
        <v>3641</v>
      </c>
      <c r="H11" t="s">
        <v>16</v>
      </c>
      <c r="I11" t="s">
        <v>3651</v>
      </c>
    </row>
    <row r="12" spans="1:9" x14ac:dyDescent="0.35">
      <c r="A12" t="s">
        <v>3654</v>
      </c>
      <c r="B12" t="s">
        <v>1227</v>
      </c>
      <c r="C12" t="s">
        <v>3793</v>
      </c>
      <c r="D12">
        <v>3</v>
      </c>
      <c r="E12" t="s">
        <v>3671</v>
      </c>
      <c r="F12" t="str">
        <f t="shared" si="0"/>
        <v>modules/cybermancy/assets/icons/mods/armor-piercing-slug-rail.webp</v>
      </c>
      <c r="G12" t="s">
        <v>3640</v>
      </c>
      <c r="H12" t="s">
        <v>16</v>
      </c>
      <c r="I12" t="s">
        <v>3651</v>
      </c>
    </row>
    <row r="13" spans="1:9" x14ac:dyDescent="0.35">
      <c r="A13" t="s">
        <v>3655</v>
      </c>
      <c r="B13" t="s">
        <v>1227</v>
      </c>
      <c r="C13" t="s">
        <v>3794</v>
      </c>
      <c r="D13">
        <v>2</v>
      </c>
      <c r="E13" t="s">
        <v>3672</v>
      </c>
      <c r="F13" t="str">
        <f t="shared" si="0"/>
        <v>modules/cybermancy/assets/icons/mods/subsonic-suppressor.webp</v>
      </c>
      <c r="G13" t="s">
        <v>3641</v>
      </c>
      <c r="H13" t="s">
        <v>16</v>
      </c>
      <c r="I13" t="s">
        <v>3651</v>
      </c>
    </row>
    <row r="14" spans="1:9" x14ac:dyDescent="0.35">
      <c r="A14" t="s">
        <v>3656</v>
      </c>
      <c r="B14" t="s">
        <v>1227</v>
      </c>
      <c r="C14" t="s">
        <v>3795</v>
      </c>
      <c r="D14">
        <v>3</v>
      </c>
      <c r="E14" t="s">
        <v>3673</v>
      </c>
      <c r="F14" t="str">
        <f t="shared" si="0"/>
        <v>modules/cybermancy/assets/icons/mods/flash-diverter-(strobe-muzzle).webp</v>
      </c>
      <c r="G14" t="s">
        <v>3640</v>
      </c>
      <c r="H14" t="s">
        <v>16</v>
      </c>
      <c r="I14" t="s">
        <v>3651</v>
      </c>
    </row>
    <row r="15" spans="1:9" x14ac:dyDescent="0.35">
      <c r="A15" t="s">
        <v>3688</v>
      </c>
      <c r="B15" t="s">
        <v>1227</v>
      </c>
      <c r="C15" t="s">
        <v>3796</v>
      </c>
      <c r="D15">
        <v>2</v>
      </c>
      <c r="E15" t="s">
        <v>3674</v>
      </c>
      <c r="F15" t="str">
        <f t="shared" si="0"/>
        <v>modules/cybermancy/assets/icons/mods/recoildamp-armature.webp</v>
      </c>
      <c r="G15" t="s">
        <v>3641</v>
      </c>
      <c r="H15" t="s">
        <v>16</v>
      </c>
      <c r="I15" t="s">
        <v>3651</v>
      </c>
    </row>
    <row r="16" spans="1:9" x14ac:dyDescent="0.35">
      <c r="A16" t="s">
        <v>3685</v>
      </c>
      <c r="B16" t="s">
        <v>1227</v>
      </c>
      <c r="C16" t="s">
        <v>3797</v>
      </c>
      <c r="D16">
        <v>3</v>
      </c>
      <c r="E16" t="s">
        <v>3675</v>
      </c>
      <c r="F16" t="str">
        <f t="shared" si="0"/>
        <v>modules/cybermancy/assets/icons/mods/monofilament-edge-adapter.webp</v>
      </c>
      <c r="G16" t="s">
        <v>3640</v>
      </c>
      <c r="H16" t="s">
        <v>16</v>
      </c>
      <c r="I16" t="s">
        <v>3651</v>
      </c>
    </row>
    <row r="17" spans="1:9" x14ac:dyDescent="0.35">
      <c r="A17" t="s">
        <v>3657</v>
      </c>
      <c r="B17" t="s">
        <v>1227</v>
      </c>
      <c r="C17" t="s">
        <v>3803</v>
      </c>
      <c r="D17">
        <v>3</v>
      </c>
      <c r="E17" t="s">
        <v>3676</v>
      </c>
      <c r="F17" t="str">
        <f t="shared" si="0"/>
        <v>modules/cybermancy/assets/icons/mods/adaptive-ballistics-computer.webp</v>
      </c>
      <c r="G17" t="s">
        <v>3639</v>
      </c>
      <c r="H17" t="s">
        <v>16</v>
      </c>
      <c r="I17" t="s">
        <v>3651</v>
      </c>
    </row>
    <row r="18" spans="1:9" x14ac:dyDescent="0.35">
      <c r="A18" t="s">
        <v>3658</v>
      </c>
      <c r="B18" t="s">
        <v>1227</v>
      </c>
      <c r="C18" t="s">
        <v>3798</v>
      </c>
      <c r="D18">
        <v>4</v>
      </c>
      <c r="E18" t="s">
        <v>3677</v>
      </c>
      <c r="F18" t="str">
        <f t="shared" si="0"/>
        <v>modules/cybermancy/assets/icons/mods/gauss-coil-retrofit.webp</v>
      </c>
      <c r="G18" t="s">
        <v>3639</v>
      </c>
      <c r="H18" t="s">
        <v>16</v>
      </c>
      <c r="I18" t="s">
        <v>3651</v>
      </c>
    </row>
    <row r="19" spans="1:9" x14ac:dyDescent="0.35">
      <c r="A19" t="s">
        <v>3659</v>
      </c>
      <c r="B19" t="s">
        <v>1227</v>
      </c>
      <c r="C19" t="s">
        <v>3799</v>
      </c>
      <c r="D19">
        <v>3</v>
      </c>
      <c r="E19" t="s">
        <v>3678</v>
      </c>
      <c r="F19" t="str">
        <f t="shared" si="0"/>
        <v>modules/cybermancy/assets/icons/mods/holo-displacer-camo.webp</v>
      </c>
      <c r="G19" t="s">
        <v>3639</v>
      </c>
      <c r="H19" t="s">
        <v>16</v>
      </c>
      <c r="I19" t="s">
        <v>3651</v>
      </c>
    </row>
    <row r="20" spans="1:9" x14ac:dyDescent="0.35">
      <c r="A20" t="s">
        <v>3660</v>
      </c>
      <c r="B20" t="s">
        <v>1227</v>
      </c>
      <c r="C20" t="s">
        <v>3804</v>
      </c>
      <c r="D20">
        <v>3</v>
      </c>
      <c r="E20" t="s">
        <v>3679</v>
      </c>
      <c r="F20" t="str">
        <f t="shared" si="0"/>
        <v>modules/cybermancy/assets/icons/mods/smart-safety-override.webp</v>
      </c>
      <c r="G20" t="s">
        <v>3641</v>
      </c>
      <c r="H20" t="s">
        <v>16</v>
      </c>
      <c r="I20" t="s">
        <v>3651</v>
      </c>
    </row>
    <row r="21" spans="1:9" x14ac:dyDescent="0.35">
      <c r="A21" t="s">
        <v>3661</v>
      </c>
      <c r="B21" t="s">
        <v>1227</v>
      </c>
      <c r="C21" t="s">
        <v>3800</v>
      </c>
      <c r="D21">
        <v>2</v>
      </c>
      <c r="E21" t="s">
        <v>3680</v>
      </c>
      <c r="F21" t="str">
        <f t="shared" si="0"/>
        <v>modules/cybermancy/assets/icons/mods/reactive-shrapnel-shells.webp</v>
      </c>
      <c r="G21" t="s">
        <v>3640</v>
      </c>
      <c r="H21" t="s">
        <v>16</v>
      </c>
      <c r="I21" t="s">
        <v>3651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FD68C-59DD-4B04-8B60-92ACCE4AA398}">
  <dimension ref="A1:D19"/>
  <sheetViews>
    <sheetView zoomScale="130" zoomScaleNormal="130" workbookViewId="0">
      <selection activeCell="D20" sqref="D20"/>
    </sheetView>
  </sheetViews>
  <sheetFormatPr defaultRowHeight="14.5" x14ac:dyDescent="0.35"/>
  <cols>
    <col min="1" max="1" width="22.26953125" bestFit="1" customWidth="1"/>
    <col min="2" max="2" width="128.6328125" customWidth="1"/>
  </cols>
  <sheetData>
    <row r="1" spans="1:4" x14ac:dyDescent="0.35">
      <c r="A1" t="s">
        <v>0</v>
      </c>
      <c r="B1" t="s">
        <v>3</v>
      </c>
      <c r="C1" t="s">
        <v>2579</v>
      </c>
      <c r="D1" t="s">
        <v>4</v>
      </c>
    </row>
    <row r="2" spans="1:4" x14ac:dyDescent="0.35">
      <c r="A2" t="s">
        <v>3806</v>
      </c>
      <c r="B2" t="s">
        <v>3885</v>
      </c>
      <c r="C2" t="s">
        <v>3874</v>
      </c>
      <c r="D2">
        <v>1</v>
      </c>
    </row>
    <row r="3" spans="1:4" x14ac:dyDescent="0.35">
      <c r="A3" t="s">
        <v>3809</v>
      </c>
      <c r="B3" t="s">
        <v>3886</v>
      </c>
      <c r="C3" t="s">
        <v>3875</v>
      </c>
      <c r="D3">
        <v>2</v>
      </c>
    </row>
    <row r="4" spans="1:4" x14ac:dyDescent="0.35">
      <c r="A4" t="s">
        <v>3810</v>
      </c>
      <c r="B4" t="s">
        <v>3887</v>
      </c>
      <c r="C4" t="s">
        <v>3876</v>
      </c>
      <c r="D4">
        <v>1</v>
      </c>
    </row>
    <row r="5" spans="1:4" x14ac:dyDescent="0.35">
      <c r="A5" t="s">
        <v>3811</v>
      </c>
      <c r="B5" t="s">
        <v>3888</v>
      </c>
      <c r="C5" t="s">
        <v>3877</v>
      </c>
      <c r="D5">
        <v>2</v>
      </c>
    </row>
    <row r="6" spans="1:4" x14ac:dyDescent="0.35">
      <c r="A6" t="s">
        <v>3812</v>
      </c>
      <c r="B6" t="s">
        <v>3889</v>
      </c>
      <c r="C6" t="s">
        <v>3878</v>
      </c>
      <c r="D6">
        <v>2</v>
      </c>
    </row>
    <row r="7" spans="1:4" x14ac:dyDescent="0.35">
      <c r="A7" t="s">
        <v>3813</v>
      </c>
      <c r="B7" t="s">
        <v>3890</v>
      </c>
      <c r="C7" t="s">
        <v>3879</v>
      </c>
      <c r="D7">
        <v>3</v>
      </c>
    </row>
    <row r="8" spans="1:4" x14ac:dyDescent="0.35">
      <c r="A8" t="s">
        <v>3814</v>
      </c>
      <c r="B8" s="12" t="s">
        <v>3881</v>
      </c>
      <c r="C8" t="s">
        <v>3882</v>
      </c>
      <c r="D8">
        <v>2</v>
      </c>
    </row>
    <row r="9" spans="1:4" x14ac:dyDescent="0.35">
      <c r="A9" t="s">
        <v>3815</v>
      </c>
      <c r="B9" t="s">
        <v>3891</v>
      </c>
      <c r="D9">
        <v>1</v>
      </c>
    </row>
    <row r="10" spans="1:4" x14ac:dyDescent="0.35">
      <c r="A10" t="s">
        <v>3816</v>
      </c>
      <c r="B10" t="s">
        <v>3892</v>
      </c>
      <c r="C10" t="s">
        <v>3880</v>
      </c>
      <c r="D10">
        <v>2</v>
      </c>
    </row>
    <row r="11" spans="1:4" x14ac:dyDescent="0.35">
      <c r="A11" t="s">
        <v>3805</v>
      </c>
      <c r="B11" t="s">
        <v>3893</v>
      </c>
      <c r="C11" t="s">
        <v>3817</v>
      </c>
      <c r="D11">
        <v>2</v>
      </c>
    </row>
    <row r="12" spans="1:4" x14ac:dyDescent="0.35">
      <c r="A12" t="s">
        <v>3883</v>
      </c>
      <c r="B12" t="s">
        <v>3884</v>
      </c>
      <c r="C12" t="s">
        <v>3818</v>
      </c>
      <c r="D12">
        <v>1</v>
      </c>
    </row>
    <row r="13" spans="1:4" x14ac:dyDescent="0.35">
      <c r="A13" t="s">
        <v>3819</v>
      </c>
      <c r="B13" t="s">
        <v>3894</v>
      </c>
      <c r="C13" t="s">
        <v>3827</v>
      </c>
      <c r="D13">
        <v>1</v>
      </c>
    </row>
    <row r="14" spans="1:4" x14ac:dyDescent="0.35">
      <c r="A14" t="s">
        <v>3820</v>
      </c>
      <c r="B14" t="s">
        <v>3898</v>
      </c>
      <c r="C14" t="s">
        <v>3828</v>
      </c>
      <c r="D14">
        <v>1</v>
      </c>
    </row>
    <row r="15" spans="1:4" x14ac:dyDescent="0.35">
      <c r="A15" t="s">
        <v>3821</v>
      </c>
      <c r="B15" t="s">
        <v>3895</v>
      </c>
      <c r="C15" t="s">
        <v>3822</v>
      </c>
      <c r="D15">
        <v>2</v>
      </c>
    </row>
    <row r="16" spans="1:4" x14ac:dyDescent="0.35">
      <c r="A16" t="s">
        <v>3823</v>
      </c>
      <c r="B16" t="s">
        <v>3896</v>
      </c>
      <c r="C16" t="s">
        <v>3829</v>
      </c>
      <c r="D16">
        <v>1</v>
      </c>
    </row>
    <row r="17" spans="1:4" x14ac:dyDescent="0.35">
      <c r="A17" t="s">
        <v>3824</v>
      </c>
      <c r="B17" t="s">
        <v>3899</v>
      </c>
      <c r="C17" t="s">
        <v>3830</v>
      </c>
      <c r="D17">
        <v>3</v>
      </c>
    </row>
    <row r="18" spans="1:4" x14ac:dyDescent="0.35">
      <c r="A18" t="s">
        <v>3825</v>
      </c>
      <c r="B18" t="s">
        <v>3900</v>
      </c>
      <c r="C18" t="s">
        <v>3826</v>
      </c>
      <c r="D18">
        <v>2</v>
      </c>
    </row>
    <row r="19" spans="1:4" x14ac:dyDescent="0.35">
      <c r="A19" t="s">
        <v>3807</v>
      </c>
      <c r="B19" t="s">
        <v>3897</v>
      </c>
      <c r="C19" t="s">
        <v>3808</v>
      </c>
      <c r="D19">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210F-6AD5-4290-AC2A-0367F956D048}">
  <dimension ref="A1:K49"/>
  <sheetViews>
    <sheetView zoomScale="130" zoomScaleNormal="130" workbookViewId="0">
      <selection activeCell="H4" sqref="H4"/>
    </sheetView>
  </sheetViews>
  <sheetFormatPr defaultRowHeight="14.5" x14ac:dyDescent="0.35"/>
  <cols>
    <col min="1" max="1" width="11.81640625" bestFit="1" customWidth="1"/>
    <col min="2" max="3" width="11.81640625" customWidth="1"/>
    <col min="4" max="4" width="16.36328125" customWidth="1"/>
    <col min="5" max="8" width="15.1796875" customWidth="1"/>
    <col min="9" max="9" width="15.81640625" customWidth="1"/>
    <col min="10" max="10" width="11.36328125" bestFit="1" customWidth="1"/>
  </cols>
  <sheetData>
    <row r="1" spans="1:11" s="2" customFormat="1" x14ac:dyDescent="0.35">
      <c r="A1" s="2" t="s">
        <v>1</v>
      </c>
      <c r="B1" s="2" t="s">
        <v>1391</v>
      </c>
      <c r="C1" s="2" t="s">
        <v>1392</v>
      </c>
      <c r="D1" s="2" t="s">
        <v>35</v>
      </c>
      <c r="E1" s="2" t="s">
        <v>36</v>
      </c>
      <c r="F1" s="2" t="s">
        <v>9</v>
      </c>
      <c r="G1" s="2" t="s">
        <v>1393</v>
      </c>
      <c r="H1" s="2" t="s">
        <v>13</v>
      </c>
      <c r="I1" s="2" t="s">
        <v>40</v>
      </c>
      <c r="J1" s="2" t="s">
        <v>45</v>
      </c>
      <c r="K1" s="2" t="s">
        <v>1229</v>
      </c>
    </row>
    <row r="2" spans="1:11" x14ac:dyDescent="0.35">
      <c r="A2" t="s">
        <v>1083</v>
      </c>
      <c r="B2" t="b">
        <v>1</v>
      </c>
      <c r="C2" t="s">
        <v>18</v>
      </c>
      <c r="D2" t="s">
        <v>20</v>
      </c>
      <c r="E2" t="s">
        <v>38</v>
      </c>
      <c r="F2" t="s">
        <v>21</v>
      </c>
      <c r="G2" t="s">
        <v>22</v>
      </c>
      <c r="H2" t="s">
        <v>24</v>
      </c>
      <c r="I2" t="s">
        <v>25</v>
      </c>
      <c r="J2" t="s">
        <v>46</v>
      </c>
      <c r="K2" t="s">
        <v>1230</v>
      </c>
    </row>
    <row r="3" spans="1:11" x14ac:dyDescent="0.35">
      <c r="A3" t="s">
        <v>1224</v>
      </c>
      <c r="B3" t="b">
        <v>0</v>
      </c>
      <c r="C3" t="s">
        <v>27</v>
      </c>
      <c r="D3" t="s">
        <v>30</v>
      </c>
      <c r="E3" t="s">
        <v>37</v>
      </c>
      <c r="F3" t="s">
        <v>1353</v>
      </c>
      <c r="G3" t="s">
        <v>1355</v>
      </c>
      <c r="H3" t="s">
        <v>1394</v>
      </c>
      <c r="I3" t="s">
        <v>41</v>
      </c>
      <c r="J3" t="s">
        <v>47</v>
      </c>
      <c r="K3" t="s">
        <v>1231</v>
      </c>
    </row>
    <row r="4" spans="1:11" x14ac:dyDescent="0.35">
      <c r="A4" t="s">
        <v>85</v>
      </c>
      <c r="D4" t="s">
        <v>12</v>
      </c>
      <c r="E4" t="s">
        <v>39</v>
      </c>
      <c r="F4" t="s">
        <v>1351</v>
      </c>
      <c r="G4" t="s">
        <v>1356</v>
      </c>
      <c r="I4" t="s">
        <v>42</v>
      </c>
      <c r="J4" t="s">
        <v>49</v>
      </c>
      <c r="K4" t="s">
        <v>1232</v>
      </c>
    </row>
    <row r="5" spans="1:11" x14ac:dyDescent="0.35">
      <c r="A5" t="s">
        <v>1228</v>
      </c>
      <c r="D5" t="s">
        <v>31</v>
      </c>
      <c r="F5" t="s">
        <v>1352</v>
      </c>
      <c r="G5" t="s">
        <v>1357</v>
      </c>
      <c r="I5" t="s">
        <v>43</v>
      </c>
      <c r="J5" t="s">
        <v>48</v>
      </c>
      <c r="K5" t="s">
        <v>1233</v>
      </c>
    </row>
    <row r="6" spans="1:11" x14ac:dyDescent="0.35">
      <c r="A6" t="s">
        <v>1390</v>
      </c>
      <c r="D6" t="s">
        <v>32</v>
      </c>
      <c r="F6" t="s">
        <v>1354</v>
      </c>
      <c r="G6" t="s">
        <v>1358</v>
      </c>
      <c r="I6" t="s">
        <v>44</v>
      </c>
      <c r="J6" t="s">
        <v>50</v>
      </c>
      <c r="K6" t="s">
        <v>1234</v>
      </c>
    </row>
    <row r="7" spans="1:11" x14ac:dyDescent="0.35">
      <c r="D7" t="s">
        <v>33</v>
      </c>
      <c r="G7" t="s">
        <v>1359</v>
      </c>
      <c r="J7" t="s">
        <v>51</v>
      </c>
      <c r="K7" t="s">
        <v>1235</v>
      </c>
    </row>
    <row r="8" spans="1:11" x14ac:dyDescent="0.35">
      <c r="D8" t="s">
        <v>34</v>
      </c>
      <c r="K8" t="s">
        <v>1236</v>
      </c>
    </row>
    <row r="9" spans="1:11" x14ac:dyDescent="0.35">
      <c r="K9" t="s">
        <v>1237</v>
      </c>
    </row>
    <row r="10" spans="1:11" x14ac:dyDescent="0.35">
      <c r="K10" t="s">
        <v>29</v>
      </c>
    </row>
    <row r="11" spans="1:11" x14ac:dyDescent="0.35">
      <c r="K11" t="s">
        <v>1238</v>
      </c>
    </row>
    <row r="12" spans="1:11" x14ac:dyDescent="0.35">
      <c r="K12" t="s">
        <v>1239</v>
      </c>
    </row>
    <row r="13" spans="1:11" x14ac:dyDescent="0.35">
      <c r="K13" t="s">
        <v>1240</v>
      </c>
    </row>
    <row r="14" spans="1:11" x14ac:dyDescent="0.35">
      <c r="K14" t="s">
        <v>1241</v>
      </c>
    </row>
    <row r="15" spans="1:11" x14ac:dyDescent="0.35">
      <c r="K15" t="s">
        <v>1242</v>
      </c>
    </row>
    <row r="16" spans="1:11" x14ac:dyDescent="0.35">
      <c r="K16" t="s">
        <v>1243</v>
      </c>
    </row>
    <row r="17" spans="11:11" x14ac:dyDescent="0.35">
      <c r="K17" t="s">
        <v>1244</v>
      </c>
    </row>
    <row r="18" spans="11:11" x14ac:dyDescent="0.35">
      <c r="K18" t="s">
        <v>1245</v>
      </c>
    </row>
    <row r="19" spans="11:11" x14ac:dyDescent="0.35">
      <c r="K19" t="s">
        <v>1246</v>
      </c>
    </row>
    <row r="20" spans="11:11" x14ac:dyDescent="0.35">
      <c r="K20" t="s">
        <v>1247</v>
      </c>
    </row>
    <row r="21" spans="11:11" x14ac:dyDescent="0.35">
      <c r="K21" t="s">
        <v>30</v>
      </c>
    </row>
    <row r="22" spans="11:11" x14ac:dyDescent="0.35">
      <c r="K22" t="s">
        <v>1248</v>
      </c>
    </row>
    <row r="23" spans="11:11" x14ac:dyDescent="0.35">
      <c r="K23" t="s">
        <v>1249</v>
      </c>
    </row>
    <row r="24" spans="11:11" x14ac:dyDescent="0.35">
      <c r="K24" t="s">
        <v>1250</v>
      </c>
    </row>
    <row r="25" spans="11:11" x14ac:dyDescent="0.35">
      <c r="K25" t="s">
        <v>1251</v>
      </c>
    </row>
    <row r="26" spans="11:11" x14ac:dyDescent="0.35">
      <c r="K26" t="s">
        <v>1252</v>
      </c>
    </row>
    <row r="27" spans="11:11" x14ac:dyDescent="0.35">
      <c r="K27" t="s">
        <v>1253</v>
      </c>
    </row>
    <row r="28" spans="11:11" x14ac:dyDescent="0.35">
      <c r="K28" t="s">
        <v>1254</v>
      </c>
    </row>
    <row r="29" spans="11:11" x14ac:dyDescent="0.35">
      <c r="K29" t="s">
        <v>1255</v>
      </c>
    </row>
    <row r="30" spans="11:11" x14ac:dyDescent="0.35">
      <c r="K30" t="s">
        <v>1256</v>
      </c>
    </row>
    <row r="31" spans="11:11" x14ac:dyDescent="0.35">
      <c r="K31" t="s">
        <v>1257</v>
      </c>
    </row>
    <row r="32" spans="11:11" x14ac:dyDescent="0.35">
      <c r="K32" t="s">
        <v>1258</v>
      </c>
    </row>
    <row r="33" spans="11:11" x14ac:dyDescent="0.35">
      <c r="K33" t="s">
        <v>1259</v>
      </c>
    </row>
    <row r="34" spans="11:11" x14ac:dyDescent="0.35">
      <c r="K34" t="s">
        <v>1260</v>
      </c>
    </row>
    <row r="35" spans="11:11" x14ac:dyDescent="0.35">
      <c r="K35" t="s">
        <v>1261</v>
      </c>
    </row>
    <row r="36" spans="11:11" x14ac:dyDescent="0.35">
      <c r="K36" t="s">
        <v>1262</v>
      </c>
    </row>
    <row r="37" spans="11:11" x14ac:dyDescent="0.35">
      <c r="K37" t="s">
        <v>1263</v>
      </c>
    </row>
    <row r="38" spans="11:11" x14ac:dyDescent="0.35">
      <c r="K38" t="s">
        <v>1264</v>
      </c>
    </row>
    <row r="39" spans="11:11" x14ac:dyDescent="0.35">
      <c r="K39" t="s">
        <v>1265</v>
      </c>
    </row>
    <row r="40" spans="11:11" x14ac:dyDescent="0.35">
      <c r="K40" t="s">
        <v>1266</v>
      </c>
    </row>
    <row r="41" spans="11:11" x14ac:dyDescent="0.35">
      <c r="K41" t="s">
        <v>1267</v>
      </c>
    </row>
    <row r="42" spans="11:11" x14ac:dyDescent="0.35">
      <c r="K42" t="s">
        <v>1268</v>
      </c>
    </row>
    <row r="43" spans="11:11" x14ac:dyDescent="0.35">
      <c r="K43" t="s">
        <v>1269</v>
      </c>
    </row>
    <row r="44" spans="11:11" x14ac:dyDescent="0.35">
      <c r="K44" t="s">
        <v>1270</v>
      </c>
    </row>
    <row r="45" spans="11:11" x14ac:dyDescent="0.35">
      <c r="K45" t="s">
        <v>1271</v>
      </c>
    </row>
    <row r="46" spans="11:11" x14ac:dyDescent="0.35">
      <c r="K46" t="s">
        <v>1272</v>
      </c>
    </row>
    <row r="47" spans="11:11" x14ac:dyDescent="0.35">
      <c r="K47" t="s">
        <v>1273</v>
      </c>
    </row>
    <row r="48" spans="11:11" x14ac:dyDescent="0.35">
      <c r="K48" t="s">
        <v>1274</v>
      </c>
    </row>
    <row r="49" spans="11:11" x14ac:dyDescent="0.35">
      <c r="K49" t="s">
        <v>1275</v>
      </c>
    </row>
  </sheetData>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4B3E0-0F30-40E4-A4E1-00A26E5811E5}">
  <dimension ref="A1:S89"/>
  <sheetViews>
    <sheetView topLeftCell="I1" zoomScaleNormal="100" workbookViewId="0">
      <pane ySplit="1" topLeftCell="A7" activePane="bottomLeft" state="frozen"/>
      <selection pane="bottomLeft" activeCell="P1" sqref="P1:P1048576"/>
    </sheetView>
  </sheetViews>
  <sheetFormatPr defaultRowHeight="57.5" customHeight="1" x14ac:dyDescent="0.35"/>
  <cols>
    <col min="1" max="1" width="23.7265625" bestFit="1" customWidth="1"/>
    <col min="2" max="2" width="14.54296875" customWidth="1"/>
    <col min="3" max="3" width="32.26953125" bestFit="1" customWidth="1"/>
    <col min="4" max="4" width="83.6328125" customWidth="1"/>
    <col min="5" max="5" width="15.453125" customWidth="1"/>
    <col min="6" max="6" width="15.1796875" style="13" customWidth="1"/>
    <col min="7" max="7" width="16.36328125" customWidth="1"/>
    <col min="8" max="8" width="18.7265625" customWidth="1"/>
    <col min="9" max="9" width="61.08984375" style="4" customWidth="1"/>
    <col min="10" max="10" width="33.36328125" customWidth="1"/>
    <col min="11" max="11" width="76.6328125" customWidth="1"/>
    <col min="12" max="15" width="27" customWidth="1"/>
    <col min="16" max="16" width="25.453125" customWidth="1"/>
    <col min="17" max="17" width="30.54296875" customWidth="1"/>
    <col min="18" max="18" width="37.08984375" customWidth="1"/>
    <col min="19" max="19" width="16.36328125" customWidth="1"/>
  </cols>
  <sheetData>
    <row r="1" spans="1:19" s="10" customFormat="1" ht="57.5" customHeight="1" x14ac:dyDescent="0.35">
      <c r="A1" s="2" t="s">
        <v>0</v>
      </c>
      <c r="B1" s="2" t="s">
        <v>1</v>
      </c>
      <c r="C1" s="2" t="s">
        <v>2</v>
      </c>
      <c r="D1" s="2" t="s">
        <v>3</v>
      </c>
      <c r="E1" s="2" t="s">
        <v>2577</v>
      </c>
      <c r="F1" s="14" t="s">
        <v>2679</v>
      </c>
      <c r="G1" s="15" t="s">
        <v>2578</v>
      </c>
      <c r="H1" s="15" t="s">
        <v>2945</v>
      </c>
      <c r="I1" s="3" t="s">
        <v>2949</v>
      </c>
      <c r="J1" s="15" t="s">
        <v>2579</v>
      </c>
      <c r="K1" s="3" t="s">
        <v>2946</v>
      </c>
      <c r="L1" s="15" t="s">
        <v>2947</v>
      </c>
      <c r="M1" s="15" t="s">
        <v>2950</v>
      </c>
      <c r="N1" s="15" t="s">
        <v>2951</v>
      </c>
      <c r="O1" s="15" t="s">
        <v>3019</v>
      </c>
      <c r="P1" s="2" t="s">
        <v>2948</v>
      </c>
      <c r="Q1" s="2" t="s">
        <v>2187</v>
      </c>
      <c r="R1" s="10" t="s">
        <v>2779</v>
      </c>
      <c r="S1" s="2" t="s">
        <v>2520</v>
      </c>
    </row>
    <row r="2" spans="1:19" ht="57.5" customHeight="1" x14ac:dyDescent="0.35">
      <c r="A2" s="4" t="s">
        <v>2595</v>
      </c>
      <c r="B2" s="4" t="s">
        <v>2584</v>
      </c>
      <c r="C2" t="str">
        <f t="shared" ref="C2:C33" si="0">Q2</f>
        <v>modules/cybermancy/assets/icons/domains/bullet/quick-reload.webp</v>
      </c>
      <c r="D2" t="str">
        <f t="shared" ref="D2:D33" si="1">I2</f>
        <v>&lt;i&gt;Reloading is for amateurs.&lt;/i&gt;&lt;p class="Card-Feature"&gt;Swap ammunition types without spending an action.</v>
      </c>
      <c r="E2" s="4" t="s">
        <v>2789</v>
      </c>
      <c r="F2" s="17">
        <v>1</v>
      </c>
      <c r="G2" s="4">
        <v>1</v>
      </c>
      <c r="H2" s="4" t="s">
        <v>2585</v>
      </c>
      <c r="I2" s="4" t="str">
        <f>"&lt;i&gt;" &amp; J2 &amp; "&lt;/i&gt;" &amp; K2</f>
        <v>&lt;i&gt;Reloading is for amateurs.&lt;/i&gt;&lt;p class="Card-Feature"&gt;Swap ammunition types without spending an action.</v>
      </c>
      <c r="J2" s="4" t="s">
        <v>2598</v>
      </c>
      <c r="K2" s="4" t="s">
        <v>2978</v>
      </c>
      <c r="L2" s="4" t="str">
        <f t="shared" ref="L2:L33" si="2">A2</f>
        <v>Quick Reload</v>
      </c>
      <c r="M2" s="4" t="s">
        <v>59</v>
      </c>
      <c r="N2" s="4" t="s">
        <v>38</v>
      </c>
      <c r="O2" s="4"/>
      <c r="P2" t="str">
        <f t="shared" ref="P2:P33" si="3">SUBSTITUTE(LOWER(A2), " ", "-")</f>
        <v>quick-reload</v>
      </c>
      <c r="Q2" t="str">
        <f t="shared" ref="Q2:Q33" si="4">"modules/cybermancy/assets/icons/domains/" &amp; E2 &amp; "/" &amp; P2 &amp; ".webp"</f>
        <v>modules/cybermancy/assets/icons/domains/bullet/quick-reload.webp</v>
      </c>
      <c r="R2" s="4" t="s">
        <v>2597</v>
      </c>
      <c r="S2" s="4" t="s">
        <v>2596</v>
      </c>
    </row>
    <row r="3" spans="1:19" ht="57.5" customHeight="1" x14ac:dyDescent="0.35">
      <c r="A3" s="4" t="s">
        <v>2603</v>
      </c>
      <c r="B3" s="4" t="s">
        <v>2584</v>
      </c>
      <c r="C3" t="str">
        <f t="shared" si="0"/>
        <v>modules/cybermancy/assets/icons/domains/bullet/gun-trainer.webp</v>
      </c>
      <c r="D3" t="str">
        <f t="shared" si="1"/>
        <v>&lt;i&gt;You teach death politely.&lt;/i&gt;&lt;p class="Card-Feature"&gt;As a downtime action you train each of your allies to better use their guns.  Give each ally a &lt;b&gt;Bullet die&lt;/b&gt; appropriate to your Tier (Tier 1: d4, Tier 2: d6, Tier 3: d8, Tier 4:d10).  They may use this &lt;b&gt;Bullet die&lt;/b&gt; in the same way as your Class or Subclass</v>
      </c>
      <c r="E3" s="4" t="s">
        <v>2789</v>
      </c>
      <c r="F3" s="17">
        <v>1</v>
      </c>
      <c r="G3" s="4">
        <v>2</v>
      </c>
      <c r="H3" s="4" t="s">
        <v>2585</v>
      </c>
      <c r="I3" s="4" t="str">
        <f t="shared" ref="I3:I33" si="5">"&lt;i&gt;" &amp; J3 &amp; "&lt;/i&gt;" &amp; K3</f>
        <v>&lt;i&gt;You teach death politely.&lt;/i&gt;&lt;p class="Card-Feature"&gt;As a downtime action you train each of your allies to better use their guns.  Give each ally a &lt;b&gt;Bullet die&lt;/b&gt; appropriate to your Tier (Tier 1: d4, Tier 2: d6, Tier 3: d8, Tier 4:d10).  They may use this &lt;b&gt;Bullet die&lt;/b&gt; in the same way as your Class or Subclass</v>
      </c>
      <c r="J3" s="4" t="s">
        <v>2606</v>
      </c>
      <c r="K3" s="4" t="s">
        <v>2980</v>
      </c>
      <c r="L3" s="4" t="str">
        <f t="shared" si="2"/>
        <v>Gun Trainer</v>
      </c>
      <c r="M3" s="4" t="s">
        <v>59</v>
      </c>
      <c r="N3" s="4" t="s">
        <v>38</v>
      </c>
      <c r="O3" s="4"/>
      <c r="P3" t="str">
        <f t="shared" si="3"/>
        <v>gun-trainer</v>
      </c>
      <c r="Q3" t="str">
        <f t="shared" si="4"/>
        <v>modules/cybermancy/assets/icons/domains/bullet/gun-trainer.webp</v>
      </c>
      <c r="R3" s="4" t="s">
        <v>2605</v>
      </c>
      <c r="S3" s="4" t="s">
        <v>2604</v>
      </c>
    </row>
    <row r="4" spans="1:19" ht="57.5" customHeight="1" x14ac:dyDescent="0.35">
      <c r="A4" s="4" t="s">
        <v>2615</v>
      </c>
      <c r="B4" s="4" t="s">
        <v>2584</v>
      </c>
      <c r="C4" t="str">
        <f t="shared" si="0"/>
        <v>modules/cybermancy/assets/icons/domains/bullet/assess-weapon.webp</v>
      </c>
      <c r="D4" t="str">
        <f t="shared" si="1"/>
        <v>&lt;i&gt;Every gun tells a story.&lt;/i&gt;&lt;p class="Card-Feature"&gt;Identify the weapon type and potential weaknesses or modifications of one visible gun within Far</v>
      </c>
      <c r="E4" s="4" t="s">
        <v>2789</v>
      </c>
      <c r="F4" s="17">
        <v>1</v>
      </c>
      <c r="G4" s="4">
        <v>0</v>
      </c>
      <c r="H4" s="4" t="s">
        <v>2585</v>
      </c>
      <c r="I4" s="4" t="str">
        <f t="shared" si="5"/>
        <v>&lt;i&gt;Every gun tells a story.&lt;/i&gt;&lt;p class="Card-Feature"&gt;Identify the weapon type and potential weaknesses or modifications of one visible gun within Far</v>
      </c>
      <c r="J4" s="4" t="s">
        <v>2618</v>
      </c>
      <c r="K4" s="4" t="s">
        <v>2983</v>
      </c>
      <c r="L4" s="4" t="str">
        <f t="shared" si="2"/>
        <v>Assess Weapon</v>
      </c>
      <c r="M4" s="4" t="s">
        <v>59</v>
      </c>
      <c r="N4" s="4" t="s">
        <v>38</v>
      </c>
      <c r="O4" s="4"/>
      <c r="P4" t="str">
        <f t="shared" si="3"/>
        <v>assess-weapon</v>
      </c>
      <c r="Q4" t="str">
        <f t="shared" si="4"/>
        <v>modules/cybermancy/assets/icons/domains/bullet/assess-weapon.webp</v>
      </c>
      <c r="R4" s="4" t="s">
        <v>2617</v>
      </c>
      <c r="S4" s="4" t="s">
        <v>2616</v>
      </c>
    </row>
    <row r="5" spans="1:19" ht="57.5" customHeight="1" x14ac:dyDescent="0.35">
      <c r="A5" s="4" t="s">
        <v>2635</v>
      </c>
      <c r="B5" s="4" t="s">
        <v>2584</v>
      </c>
      <c r="C5" t="str">
        <f t="shared" si="0"/>
        <v>modules/cybermancy/assets/icons/domains/bullet/marksman.webp</v>
      </c>
      <c r="D5" t="str">
        <f t="shared" si="1"/>
        <v>&lt;i&gt;One bullet, one breath.&lt;/i&gt;&lt;p class="Card-Feature"&gt;&lt;strong&gt;Spend 1 Hope&lt;/strong&gt; to attack with advantage and deal +d4 damage.</v>
      </c>
      <c r="E5" s="4" t="s">
        <v>2789</v>
      </c>
      <c r="F5" s="17">
        <v>1</v>
      </c>
      <c r="G5" s="4">
        <v>1</v>
      </c>
      <c r="H5" s="4" t="s">
        <v>2585</v>
      </c>
      <c r="I5" s="4" t="str">
        <f t="shared" si="5"/>
        <v>&lt;i&gt;One bullet, one breath.&lt;/i&gt;&lt;p class="Card-Feature"&gt;&lt;strong&gt;Spend 1 Hope&lt;/strong&gt; to attack with advantage and deal +d4 damage.</v>
      </c>
      <c r="J5" s="4" t="s">
        <v>2638</v>
      </c>
      <c r="K5" s="4" t="s">
        <v>2987</v>
      </c>
      <c r="L5" s="4" t="str">
        <f t="shared" si="2"/>
        <v>Marksman</v>
      </c>
      <c r="M5" s="4" t="s">
        <v>20</v>
      </c>
      <c r="N5" s="4" t="s">
        <v>37</v>
      </c>
      <c r="O5" s="4" t="s">
        <v>3023</v>
      </c>
      <c r="P5" t="str">
        <f t="shared" si="3"/>
        <v>marksman</v>
      </c>
      <c r="Q5" t="str">
        <f t="shared" si="4"/>
        <v>modules/cybermancy/assets/icons/domains/bullet/marksman.webp</v>
      </c>
      <c r="R5" s="4" t="s">
        <v>2637</v>
      </c>
      <c r="S5" s="4" t="s">
        <v>2636</v>
      </c>
    </row>
    <row r="6" spans="1:19" ht="57.5" customHeight="1" x14ac:dyDescent="0.35">
      <c r="A6" s="4" t="s">
        <v>2591</v>
      </c>
      <c r="B6" s="4" t="s">
        <v>2584</v>
      </c>
      <c r="C6" t="str">
        <f t="shared" si="0"/>
        <v>modules/cybermancy/assets/icons/domains/bullet/snapshot.webp</v>
      </c>
      <c r="D6" t="str">
        <f t="shared" si="1"/>
        <v xml:space="preserve">&lt;i&gt;Faster than the spotlight.&lt;/i&gt;&lt;p class="Card-Feature"&gt;Once per Scene, as a Reaction, &lt;strong&gt;Spend 1 Hope&lt;/strong&gt; when the GM spotlights an opponent to make a single ranged attack. </v>
      </c>
      <c r="E6" s="4" t="s">
        <v>2789</v>
      </c>
      <c r="F6" s="17">
        <v>2</v>
      </c>
      <c r="G6" s="4">
        <v>0</v>
      </c>
      <c r="H6" s="4" t="s">
        <v>2585</v>
      </c>
      <c r="I6" s="4" t="str">
        <f t="shared" si="5"/>
        <v xml:space="preserve">&lt;i&gt;Faster than the spotlight.&lt;/i&gt;&lt;p class="Card-Feature"&gt;Once per Scene, as a Reaction, &lt;strong&gt;Spend 1 Hope&lt;/strong&gt; when the GM spotlights an opponent to make a single ranged attack. </v>
      </c>
      <c r="J6" s="4" t="s">
        <v>2594</v>
      </c>
      <c r="K6" s="4" t="s">
        <v>2977</v>
      </c>
      <c r="L6" s="4" t="str">
        <f t="shared" si="2"/>
        <v>Snapshot</v>
      </c>
      <c r="M6" s="4" t="s">
        <v>20</v>
      </c>
      <c r="N6" s="4" t="s">
        <v>39</v>
      </c>
      <c r="O6" s="4" t="s">
        <v>3023</v>
      </c>
      <c r="P6" t="str">
        <f t="shared" si="3"/>
        <v>snapshot</v>
      </c>
      <c r="Q6" t="str">
        <f t="shared" si="4"/>
        <v>modules/cybermancy/assets/icons/domains/bullet/snapshot.webp</v>
      </c>
      <c r="R6" s="4" t="s">
        <v>2593</v>
      </c>
      <c r="S6" s="4" t="s">
        <v>2592</v>
      </c>
    </row>
    <row r="7" spans="1:19" ht="57.5" customHeight="1" x14ac:dyDescent="0.35">
      <c r="A7" s="4" t="s">
        <v>2607</v>
      </c>
      <c r="B7" s="4" t="s">
        <v>2584</v>
      </c>
      <c r="C7" t="str">
        <f t="shared" si="0"/>
        <v>modules/cybermancy/assets/icons/domains/bullet/quick-shot.webp</v>
      </c>
      <c r="D7" t="str">
        <f t="shared" si="1"/>
        <v>&lt;i&gt;Two shots, one heartbeat.&lt;/i&gt;&lt;p class="Card-Feature"&gt;After a successful attack on a target, &lt;strong&gt;Spend 1 Hope&lt;/strong&gt; to apply the damage to a second target within Very Close range.</v>
      </c>
      <c r="E7" s="4" t="s">
        <v>2789</v>
      </c>
      <c r="F7" s="17">
        <v>2</v>
      </c>
      <c r="G7" s="4">
        <v>1</v>
      </c>
      <c r="H7" s="4" t="s">
        <v>2585</v>
      </c>
      <c r="I7" s="4" t="str">
        <f t="shared" si="5"/>
        <v>&lt;i&gt;Two shots, one heartbeat.&lt;/i&gt;&lt;p class="Card-Feature"&gt;After a successful attack on a target, &lt;strong&gt;Spend 1 Hope&lt;/strong&gt; to apply the damage to a second target within Very Close range.</v>
      </c>
      <c r="J7" s="4" t="s">
        <v>2610</v>
      </c>
      <c r="K7" s="4" t="s">
        <v>2981</v>
      </c>
      <c r="L7" s="4" t="str">
        <f t="shared" si="2"/>
        <v>Quick Shot</v>
      </c>
      <c r="M7" s="4" t="s">
        <v>20</v>
      </c>
      <c r="N7" s="4" t="s">
        <v>37</v>
      </c>
      <c r="O7" s="4" t="s">
        <v>3023</v>
      </c>
      <c r="P7" t="str">
        <f t="shared" si="3"/>
        <v>quick-shot</v>
      </c>
      <c r="Q7" t="str">
        <f t="shared" si="4"/>
        <v>modules/cybermancy/assets/icons/domains/bullet/quick-shot.webp</v>
      </c>
      <c r="R7" s="4" t="s">
        <v>2609</v>
      </c>
      <c r="S7" s="4" t="s">
        <v>2608</v>
      </c>
    </row>
    <row r="8" spans="1:19" ht="57.5" customHeight="1" x14ac:dyDescent="0.35">
      <c r="A8" s="4" t="s">
        <v>2619</v>
      </c>
      <c r="B8" s="4" t="s">
        <v>2584</v>
      </c>
      <c r="C8" t="str">
        <f t="shared" si="0"/>
        <v>modules/cybermancy/assets/icons/domains/bullet/rapid-fire.webp</v>
      </c>
      <c r="D8" t="str">
        <f t="shared" si="1"/>
        <v>&lt;i&gt;The sound of inevitability.&lt;/i&gt;&lt;p class="Card-Feature"&gt;Each time you make an Attack with a gun, you may attack 2 different targets within Close of eachother.  Each shot is at -2</v>
      </c>
      <c r="E8" s="4" t="s">
        <v>2789</v>
      </c>
      <c r="F8" s="17">
        <v>2</v>
      </c>
      <c r="G8" s="4">
        <v>1</v>
      </c>
      <c r="H8" s="4" t="s">
        <v>2585</v>
      </c>
      <c r="I8" s="4" t="str">
        <f t="shared" si="5"/>
        <v>&lt;i&gt;The sound of inevitability.&lt;/i&gt;&lt;p class="Card-Feature"&gt;Each time you make an Attack with a gun, you may attack 2 different targets within Close of eachother.  Each shot is at -2</v>
      </c>
      <c r="J8" s="4" t="s">
        <v>2622</v>
      </c>
      <c r="K8" s="4" t="s">
        <v>2984</v>
      </c>
      <c r="L8" s="4" t="str">
        <f t="shared" si="2"/>
        <v>Rapid Fire</v>
      </c>
      <c r="M8" s="4" t="s">
        <v>59</v>
      </c>
      <c r="N8" s="4" t="s">
        <v>38</v>
      </c>
      <c r="O8" s="4"/>
      <c r="P8" t="str">
        <f t="shared" si="3"/>
        <v>rapid-fire</v>
      </c>
      <c r="Q8" t="str">
        <f t="shared" si="4"/>
        <v>modules/cybermancy/assets/icons/domains/bullet/rapid-fire.webp</v>
      </c>
      <c r="R8" s="4" t="s">
        <v>2621</v>
      </c>
      <c r="S8" s="4" t="s">
        <v>2620</v>
      </c>
    </row>
    <row r="9" spans="1:19" ht="57.5" customHeight="1" x14ac:dyDescent="0.35">
      <c r="A9" s="4" t="s">
        <v>2631</v>
      </c>
      <c r="B9" s="4" t="s">
        <v>2584</v>
      </c>
      <c r="C9" t="str">
        <f t="shared" si="0"/>
        <v>modules/cybermancy/assets/icons/domains/bullet/pistol-whip.webp</v>
      </c>
      <c r="D9" t="str">
        <f t="shared" si="1"/>
        <v>&lt;i&gt;Sometimes subtlety isn’t loaded.&lt;/i&gt;&lt;p class="Card-Feature"&gt;Make an Attack at Melee range with your gun at +2, then move to Close</v>
      </c>
      <c r="E9" s="4" t="s">
        <v>2789</v>
      </c>
      <c r="F9" s="17">
        <v>2</v>
      </c>
      <c r="G9" s="4">
        <v>0</v>
      </c>
      <c r="H9" s="4" t="s">
        <v>2585</v>
      </c>
      <c r="I9" s="4" t="str">
        <f t="shared" si="5"/>
        <v>&lt;i&gt;Sometimes subtlety isn’t loaded.&lt;/i&gt;&lt;p class="Card-Feature"&gt;Make an Attack at Melee range with your gun at +2, then move to Close</v>
      </c>
      <c r="J9" s="4" t="s">
        <v>2634</v>
      </c>
      <c r="K9" s="4" t="s">
        <v>2986</v>
      </c>
      <c r="L9" s="4" t="str">
        <f t="shared" si="2"/>
        <v>Pistol Whip</v>
      </c>
      <c r="M9" s="4" t="s">
        <v>20</v>
      </c>
      <c r="N9" s="4" t="s">
        <v>37</v>
      </c>
      <c r="O9" s="4"/>
      <c r="P9" t="str">
        <f t="shared" si="3"/>
        <v>pistol-whip</v>
      </c>
      <c r="Q9" t="str">
        <f t="shared" si="4"/>
        <v>modules/cybermancy/assets/icons/domains/bullet/pistol-whip.webp</v>
      </c>
      <c r="R9" s="4" t="s">
        <v>2633</v>
      </c>
      <c r="S9" s="4" t="s">
        <v>2632</v>
      </c>
    </row>
    <row r="10" spans="1:19" ht="57.5" customHeight="1" x14ac:dyDescent="0.35">
      <c r="A10" s="4" t="s">
        <v>2658</v>
      </c>
      <c r="B10" s="4" t="s">
        <v>2584</v>
      </c>
      <c r="C10" t="str">
        <f t="shared" si="0"/>
        <v>modules/cybermancy/assets/icons/domains/bullet/suppressing-fire.webp</v>
      </c>
      <c r="D10" t="str">
        <f t="shared" si="1"/>
        <v>&lt;i&gt;The air itself becomes hostile.&lt;/i&gt;&lt;p class="Card-Feature"&gt;&lt;strong&gt;Mark 2 Stress&lt;/strong&gt; and target one creature; all creatures within Very Close of it take -2 to actions and evasion.</v>
      </c>
      <c r="E10" s="4" t="s">
        <v>2789</v>
      </c>
      <c r="F10" s="17">
        <v>2</v>
      </c>
      <c r="G10" s="4">
        <v>1</v>
      </c>
      <c r="H10" s="4" t="s">
        <v>2585</v>
      </c>
      <c r="I10" s="4" t="str">
        <f t="shared" si="5"/>
        <v>&lt;i&gt;The air itself becomes hostile.&lt;/i&gt;&lt;p class="Card-Feature"&gt;&lt;strong&gt;Mark 2 Stress&lt;/strong&gt; and target one creature; all creatures within Very Close of it take -2 to actions and evasion.</v>
      </c>
      <c r="J10" s="4" t="s">
        <v>2661</v>
      </c>
      <c r="K10" s="4" t="s">
        <v>2991</v>
      </c>
      <c r="L10" s="4" t="str">
        <f t="shared" si="2"/>
        <v>Suppressing Fire</v>
      </c>
      <c r="M10" s="4" t="s">
        <v>20</v>
      </c>
      <c r="N10" s="4" t="s">
        <v>37</v>
      </c>
      <c r="O10" s="4" t="s">
        <v>3021</v>
      </c>
      <c r="P10" t="str">
        <f t="shared" si="3"/>
        <v>suppressing-fire</v>
      </c>
      <c r="Q10" t="str">
        <f t="shared" si="4"/>
        <v>modules/cybermancy/assets/icons/domains/bullet/suppressing-fire.webp</v>
      </c>
      <c r="R10" s="4" t="s">
        <v>2660</v>
      </c>
      <c r="S10" s="4" t="s">
        <v>2659</v>
      </c>
    </row>
    <row r="11" spans="1:19" ht="57.5" customHeight="1" x14ac:dyDescent="0.35">
      <c r="A11" s="4" t="s">
        <v>2623</v>
      </c>
      <c r="B11" s="4" t="s">
        <v>2584</v>
      </c>
      <c r="C11" t="str">
        <f t="shared" si="0"/>
        <v>modules/cybermancy/assets/icons/domains/bullet/trick-shot.webp</v>
      </c>
      <c r="D11" t="str">
        <f t="shared" si="1"/>
        <v>&lt;i&gt;Style points count double.&lt;/i&gt;&lt;p class="Card-Feature"&gt;Spotlight an Action to put a token on this card.  Spotlight an Action to discard tokens for a specific effect depending on the number of tokens discard: &lt;p&gt; 1: Attack at Advantage &lt;p&gt; 2: Make 3 Attacks, each at +2 &lt;p&gt; 3: Automatically hit and d10+3 additional damage &lt;p&gt; Describe the cinematic effect of your shot. GM discretion</v>
      </c>
      <c r="E11" s="4" t="s">
        <v>2789</v>
      </c>
      <c r="F11" s="17">
        <v>3</v>
      </c>
      <c r="G11" s="4">
        <v>2</v>
      </c>
      <c r="H11" s="4" t="s">
        <v>2585</v>
      </c>
      <c r="I11" s="4" t="str">
        <f t="shared" si="5"/>
        <v>&lt;i&gt;Style points count double.&lt;/i&gt;&lt;p class="Card-Feature"&gt;Spotlight an Action to put a token on this card.  Spotlight an Action to discard tokens for a specific effect depending on the number of tokens discard: &lt;p&gt; 1: Attack at Advantage &lt;p&gt; 2: Make 3 Attacks, each at +2 &lt;p&gt; 3: Automatically hit and d10+3 additional damage &lt;p&gt; Describe the cinematic effect of your shot. GM discretion</v>
      </c>
      <c r="J11" s="4" t="s">
        <v>2626</v>
      </c>
      <c r="K11" s="4" t="s">
        <v>2985</v>
      </c>
      <c r="L11" s="4" t="str">
        <f t="shared" si="2"/>
        <v>Trick Shot</v>
      </c>
      <c r="M11" s="4" t="s">
        <v>20</v>
      </c>
      <c r="N11" s="4" t="s">
        <v>37</v>
      </c>
      <c r="O11" s="4"/>
      <c r="P11" t="str">
        <f t="shared" si="3"/>
        <v>trick-shot</v>
      </c>
      <c r="Q11" t="str">
        <f t="shared" si="4"/>
        <v>modules/cybermancy/assets/icons/domains/bullet/trick-shot.webp</v>
      </c>
      <c r="R11" s="4" t="s">
        <v>2625</v>
      </c>
      <c r="S11" s="4" t="s">
        <v>2624</v>
      </c>
    </row>
    <row r="12" spans="1:19" ht="57.5" customHeight="1" x14ac:dyDescent="0.35">
      <c r="A12" s="4" t="s">
        <v>2654</v>
      </c>
      <c r="B12" s="4" t="s">
        <v>2584</v>
      </c>
      <c r="C12" t="str">
        <f t="shared" si="0"/>
        <v>modules/cybermancy/assets/icons/domains/bullet/sniper-shot.webp</v>
      </c>
      <c r="D12" t="str">
        <f t="shared" si="1"/>
        <v>&lt;i&gt;Stillness is your superpower.&lt;/i&gt;&lt;p class="Card-Feature"&gt;If you have a scope mod on your gun, &lt;strong&gt;Spend 1 Hope&lt;/strong&gt; to gain +2 to attack (in addition to the +1 bonus provided by the scope).</v>
      </c>
      <c r="E12" s="4" t="s">
        <v>2789</v>
      </c>
      <c r="F12" s="17">
        <v>3</v>
      </c>
      <c r="G12" s="4">
        <v>1</v>
      </c>
      <c r="H12" s="4" t="s">
        <v>2585</v>
      </c>
      <c r="I12" s="4" t="str">
        <f t="shared" si="5"/>
        <v>&lt;i&gt;Stillness is your superpower.&lt;/i&gt;&lt;p class="Card-Feature"&gt;If you have a scope mod on your gun, &lt;strong&gt;Spend 1 Hope&lt;/strong&gt; to gain +2 to attack (in addition to the +1 bonus provided by the scope).</v>
      </c>
      <c r="J12" s="4" t="s">
        <v>2657</v>
      </c>
      <c r="K12" s="4" t="s">
        <v>2990</v>
      </c>
      <c r="L12" s="4" t="str">
        <f t="shared" si="2"/>
        <v>Sniper Shot</v>
      </c>
      <c r="M12" s="4" t="s">
        <v>20</v>
      </c>
      <c r="N12" s="4" t="s">
        <v>37</v>
      </c>
      <c r="O12" s="4" t="s">
        <v>3023</v>
      </c>
      <c r="P12" t="str">
        <f t="shared" si="3"/>
        <v>sniper-shot</v>
      </c>
      <c r="Q12" t="str">
        <f t="shared" si="4"/>
        <v>modules/cybermancy/assets/icons/domains/bullet/sniper-shot.webp</v>
      </c>
      <c r="R12" s="4" t="s">
        <v>2656</v>
      </c>
      <c r="S12" s="4" t="s">
        <v>2655</v>
      </c>
    </row>
    <row r="13" spans="1:19" ht="57.5" customHeight="1" x14ac:dyDescent="0.35">
      <c r="A13" s="4" t="s">
        <v>2671</v>
      </c>
      <c r="B13" s="4" t="s">
        <v>2584</v>
      </c>
      <c r="C13" t="str">
        <f t="shared" si="0"/>
        <v>modules/cybermancy/assets/icons/domains/bullet/ricochet.webp</v>
      </c>
      <c r="D13" t="str">
        <f t="shared" si="1"/>
        <v xml:space="preserve">&lt;i&gt;Bullets obey geometry, not walls.&lt;/i&gt;&lt;p class="Card-Feature"&gt;&lt;strong&gt;Spend 1 Hope&lt;/strong&gt; to Attack at -2 a target with the Hidden condition by virtue of being behind cover.  </v>
      </c>
      <c r="E13" s="4" t="s">
        <v>2789</v>
      </c>
      <c r="F13" s="17">
        <v>3</v>
      </c>
      <c r="G13" s="4">
        <v>1</v>
      </c>
      <c r="H13" s="4" t="s">
        <v>2585</v>
      </c>
      <c r="I13" s="4" t="str">
        <f t="shared" si="5"/>
        <v xml:space="preserve">&lt;i&gt;Bullets obey geometry, not walls.&lt;/i&gt;&lt;p class="Card-Feature"&gt;&lt;strong&gt;Spend 1 Hope&lt;/strong&gt; to Attack at -2 a target with the Hidden condition by virtue of being behind cover.  </v>
      </c>
      <c r="J13" s="4" t="s">
        <v>2674</v>
      </c>
      <c r="K13" s="4" t="s">
        <v>2994</v>
      </c>
      <c r="L13" s="4" t="str">
        <f t="shared" si="2"/>
        <v>Ricochet</v>
      </c>
      <c r="M13" s="4" t="s">
        <v>20</v>
      </c>
      <c r="N13" s="4" t="s">
        <v>37</v>
      </c>
      <c r="O13" s="4" t="s">
        <v>3023</v>
      </c>
      <c r="P13" t="str">
        <f t="shared" si="3"/>
        <v>ricochet</v>
      </c>
      <c r="Q13" t="str">
        <f t="shared" si="4"/>
        <v>modules/cybermancy/assets/icons/domains/bullet/ricochet.webp</v>
      </c>
      <c r="R13" s="4" t="s">
        <v>2673</v>
      </c>
      <c r="S13" s="4" t="s">
        <v>2672</v>
      </c>
    </row>
    <row r="14" spans="1:19" ht="57.5" customHeight="1" x14ac:dyDescent="0.35">
      <c r="A14" s="4" t="s">
        <v>2581</v>
      </c>
      <c r="B14" s="4" t="s">
        <v>2584</v>
      </c>
      <c r="C14" t="str">
        <f t="shared" si="0"/>
        <v>modules/cybermancy/assets/icons/domains/bullet/bullet-time.webp</v>
      </c>
      <c r="D14" t="str">
        <f t="shared" si="1"/>
        <v>&lt;i&gt;You’re never where they’re aiming.&lt;/i&gt;&lt;p class="Card-Feature"&gt;Once per rest, Spend 2 Hope to gain +4 to evasion against one chosen target until your next action.</v>
      </c>
      <c r="E14" s="4" t="s">
        <v>2789</v>
      </c>
      <c r="F14" s="17">
        <v>4</v>
      </c>
      <c r="G14" s="4">
        <v>1</v>
      </c>
      <c r="H14" s="4" t="s">
        <v>2585</v>
      </c>
      <c r="I14" s="4" t="str">
        <f t="shared" si="5"/>
        <v>&lt;i&gt;You’re never where they’re aiming.&lt;/i&gt;&lt;p class="Card-Feature"&gt;Once per rest, Spend 2 Hope to gain +4 to evasion against one chosen target until your next action.</v>
      </c>
      <c r="J14" s="4" t="s">
        <v>2586</v>
      </c>
      <c r="K14" s="4" t="s">
        <v>3029</v>
      </c>
      <c r="L14" s="4" t="str">
        <f t="shared" si="2"/>
        <v>Bullet Time</v>
      </c>
      <c r="M14" s="4" t="s">
        <v>20</v>
      </c>
      <c r="N14" s="4" t="s">
        <v>37</v>
      </c>
      <c r="O14" s="4" t="s">
        <v>3024</v>
      </c>
      <c r="P14" t="str">
        <f t="shared" si="3"/>
        <v>bullet-time</v>
      </c>
      <c r="Q14" t="str">
        <f t="shared" si="4"/>
        <v>modules/cybermancy/assets/icons/domains/bullet/bullet-time.webp</v>
      </c>
      <c r="R14" s="4" t="s">
        <v>2583</v>
      </c>
      <c r="S14" s="4" t="s">
        <v>2582</v>
      </c>
    </row>
    <row r="15" spans="1:19" ht="57.5" customHeight="1" x14ac:dyDescent="0.35">
      <c r="A15" s="4" t="s">
        <v>2627</v>
      </c>
      <c r="B15" s="4" t="s">
        <v>2584</v>
      </c>
      <c r="C15" t="str">
        <f t="shared" si="0"/>
        <v>modules/cybermancy/assets/icons/domains/bullet/knee-slide.webp</v>
      </c>
      <c r="D15" t="str">
        <f t="shared" si="1"/>
        <v>&lt;i&gt;The floor is your runway.&lt;/i&gt;&lt;p class="Card-Feature"&gt;&lt;strong&gt;Spend 3 Hope&lt;/strong&gt; to move up to Far in a straight line; Attack all creatures passed. Gun is emptied afterward and you must take an Action to reload before you can make another Attack action.</v>
      </c>
      <c r="E15" s="4" t="s">
        <v>2789</v>
      </c>
      <c r="F15" s="17">
        <v>4</v>
      </c>
      <c r="G15" s="4">
        <v>1</v>
      </c>
      <c r="H15" s="4" t="s">
        <v>2585</v>
      </c>
      <c r="I15" s="4" t="str">
        <f t="shared" si="5"/>
        <v>&lt;i&gt;The floor is your runway.&lt;/i&gt;&lt;p class="Card-Feature"&gt;&lt;strong&gt;Spend 3 Hope&lt;/strong&gt; to move up to Far in a straight line; Attack all creatures passed. Gun is emptied afterward and you must take an Action to reload before you can make another Attack action.</v>
      </c>
      <c r="J15" s="4" t="s">
        <v>2630</v>
      </c>
      <c r="K15" s="4" t="s">
        <v>3030</v>
      </c>
      <c r="L15" s="4" t="str">
        <f t="shared" si="2"/>
        <v>Knee Slide</v>
      </c>
      <c r="M15" s="4" t="s">
        <v>20</v>
      </c>
      <c r="N15" s="4" t="s">
        <v>37</v>
      </c>
      <c r="O15" s="4" t="s">
        <v>3031</v>
      </c>
      <c r="P15" t="str">
        <f t="shared" si="3"/>
        <v>knee-slide</v>
      </c>
      <c r="Q15" t="str">
        <f t="shared" si="4"/>
        <v>modules/cybermancy/assets/icons/domains/bullet/knee-slide.webp</v>
      </c>
      <c r="R15" s="4" t="s">
        <v>2629</v>
      </c>
      <c r="S15" s="4" t="s">
        <v>2628</v>
      </c>
    </row>
    <row r="16" spans="1:19" ht="57.5" customHeight="1" x14ac:dyDescent="0.35">
      <c r="A16" s="4" t="s">
        <v>2662</v>
      </c>
      <c r="B16" s="4" t="s">
        <v>2584</v>
      </c>
      <c r="C16" t="str">
        <f t="shared" si="0"/>
        <v>modules/cybermancy/assets/icons/domains/bullet/body-shield.webp</v>
      </c>
      <c r="D16" t="str">
        <f t="shared" si="1"/>
        <v>&lt;i&gt;Pragmatism over pity.&lt;/i&gt;&lt;p class="Card-Feature"&gt;Once per Scene, &lt;strong&gt;Mark 1 Stress&lt;/strong&gt; and grab a creature of your size or smaller within Very Close. Gain +2 Evasion until next your next Action.</v>
      </c>
      <c r="E16" s="4" t="s">
        <v>2789</v>
      </c>
      <c r="F16" s="17">
        <v>4</v>
      </c>
      <c r="G16" s="4">
        <v>2</v>
      </c>
      <c r="H16" s="4" t="s">
        <v>2585</v>
      </c>
      <c r="I16" s="4" t="str">
        <f t="shared" si="5"/>
        <v>&lt;i&gt;Pragmatism over pity.&lt;/i&gt;&lt;p class="Card-Feature"&gt;Once per Scene, &lt;strong&gt;Mark 1 Stress&lt;/strong&gt; and grab a creature of your size or smaller within Very Close. Gain +2 Evasion until next your next Action.</v>
      </c>
      <c r="J16" s="4" t="s">
        <v>2665</v>
      </c>
      <c r="K16" s="4" t="s">
        <v>2992</v>
      </c>
      <c r="L16" s="4" t="str">
        <f t="shared" si="2"/>
        <v>Body Shield</v>
      </c>
      <c r="M16" s="4" t="s">
        <v>20</v>
      </c>
      <c r="N16" s="4" t="s">
        <v>37</v>
      </c>
      <c r="O16" s="4" t="s">
        <v>3020</v>
      </c>
      <c r="P16" t="str">
        <f t="shared" si="3"/>
        <v>body-shield</v>
      </c>
      <c r="Q16" t="str">
        <f t="shared" si="4"/>
        <v>modules/cybermancy/assets/icons/domains/bullet/body-shield.webp</v>
      </c>
      <c r="R16" s="4" t="s">
        <v>2664</v>
      </c>
      <c r="S16" s="4" t="s">
        <v>2663</v>
      </c>
    </row>
    <row r="17" spans="1:19" ht="57.5" customHeight="1" x14ac:dyDescent="0.35">
      <c r="A17" s="4" t="s">
        <v>2675</v>
      </c>
      <c r="B17" s="4" t="s">
        <v>2584</v>
      </c>
      <c r="C17" t="str">
        <f t="shared" si="0"/>
        <v>modules/cybermancy/assets/icons/domains/bullet/situational-awareness.webp</v>
      </c>
      <c r="D17" t="str">
        <f t="shared" si="1"/>
        <v>&lt;i&gt;Nothing moves without you noticing.&lt;/i&gt;&lt;p class="Card-Feature"&gt;&lt;strong&gt;Spend 1 Hope&lt;/strong&gt;; make a Perception check at +3 to detect all armed entities within Far.</v>
      </c>
      <c r="E17" s="4" t="s">
        <v>2789</v>
      </c>
      <c r="F17" s="17">
        <v>4</v>
      </c>
      <c r="G17" s="4">
        <v>0</v>
      </c>
      <c r="H17" s="4" t="s">
        <v>2585</v>
      </c>
      <c r="I17" s="4" t="str">
        <f t="shared" si="5"/>
        <v>&lt;i&gt;Nothing moves without you noticing.&lt;/i&gt;&lt;p class="Card-Feature"&gt;&lt;strong&gt;Spend 1 Hope&lt;/strong&gt;; make a Perception check at +3 to detect all armed entities within Far.</v>
      </c>
      <c r="J17" s="4" t="s">
        <v>2678</v>
      </c>
      <c r="K17" s="4" t="s">
        <v>2995</v>
      </c>
      <c r="L17" s="4" t="str">
        <f t="shared" si="2"/>
        <v>Situational Awareness</v>
      </c>
      <c r="M17" s="4" t="s">
        <v>59</v>
      </c>
      <c r="N17" s="4" t="s">
        <v>38</v>
      </c>
      <c r="O17" s="4" t="s">
        <v>3023</v>
      </c>
      <c r="P17" t="str">
        <f t="shared" si="3"/>
        <v>situational-awareness</v>
      </c>
      <c r="Q17" t="str">
        <f t="shared" si="4"/>
        <v>modules/cybermancy/assets/icons/domains/bullet/situational-awareness.webp</v>
      </c>
      <c r="R17" s="4" t="s">
        <v>2677</v>
      </c>
      <c r="S17" s="4" t="s">
        <v>2676</v>
      </c>
    </row>
    <row r="18" spans="1:19" ht="57.5" customHeight="1" x14ac:dyDescent="0.35">
      <c r="A18" s="4" t="s">
        <v>2599</v>
      </c>
      <c r="B18" s="4" t="s">
        <v>2584</v>
      </c>
      <c r="C18" t="str">
        <f t="shared" si="0"/>
        <v>modules/cybermancy/assets/icons/domains/bullet/gunsmith.webp</v>
      </c>
      <c r="D18" t="str">
        <f t="shared" si="1"/>
        <v>&lt;i&gt;Your tools are extensions of your will.&lt;/i&gt;&lt;p class="Card-Feature"&gt;Gain +1 mod slot for each firearm you own.</v>
      </c>
      <c r="E18" s="4" t="s">
        <v>2789</v>
      </c>
      <c r="F18" s="17">
        <v>5</v>
      </c>
      <c r="G18" s="4">
        <v>1</v>
      </c>
      <c r="H18" s="4" t="s">
        <v>2585</v>
      </c>
      <c r="I18" s="4" t="str">
        <f t="shared" si="5"/>
        <v>&lt;i&gt;Your tools are extensions of your will.&lt;/i&gt;&lt;p class="Card-Feature"&gt;Gain +1 mod slot for each firearm you own.</v>
      </c>
      <c r="J18" s="4" t="s">
        <v>2602</v>
      </c>
      <c r="K18" s="4" t="s">
        <v>2979</v>
      </c>
      <c r="L18" s="4" t="str">
        <f t="shared" si="2"/>
        <v>Gunsmith</v>
      </c>
      <c r="M18" s="4" t="s">
        <v>59</v>
      </c>
      <c r="N18" s="4" t="s">
        <v>38</v>
      </c>
      <c r="O18" s="4"/>
      <c r="P18" t="str">
        <f t="shared" si="3"/>
        <v>gunsmith</v>
      </c>
      <c r="Q18" t="str">
        <f t="shared" si="4"/>
        <v>modules/cybermancy/assets/icons/domains/bullet/gunsmith.webp</v>
      </c>
      <c r="R18" s="4" t="s">
        <v>2601</v>
      </c>
      <c r="S18" s="4" t="s">
        <v>2600</v>
      </c>
    </row>
    <row r="19" spans="1:19" ht="57.5" customHeight="1" x14ac:dyDescent="0.35">
      <c r="A19" s="4" t="s">
        <v>2611</v>
      </c>
      <c r="B19" s="4" t="s">
        <v>2584</v>
      </c>
      <c r="C19" t="str">
        <f t="shared" si="0"/>
        <v>modules/cybermancy/assets/icons/domains/bullet/targeted-shot.webp</v>
      </c>
      <c r="D19" t="str">
        <f t="shared" si="1"/>
        <v>&lt;i&gt;Precision is compassion—end it cleanly.&lt;/i&gt;&lt;p class="Card-Feature"&gt;Once per rest, &lt;strong&gt;Mark 1 Stress&lt;/strong&gt; to make an Attack targeting a specific limb, device mod, weapon, etc. on a creature at -2 on the Attack roll.  On a successful attack roll, disable a targeted component for the Scene</v>
      </c>
      <c r="E19" s="4" t="s">
        <v>2789</v>
      </c>
      <c r="F19" s="17">
        <v>5</v>
      </c>
      <c r="G19" s="4">
        <v>2</v>
      </c>
      <c r="H19" s="4" t="s">
        <v>2585</v>
      </c>
      <c r="I19" s="4" t="str">
        <f t="shared" si="5"/>
        <v>&lt;i&gt;Precision is compassion—end it cleanly.&lt;/i&gt;&lt;p class="Card-Feature"&gt;Once per rest, &lt;strong&gt;Mark 1 Stress&lt;/strong&gt; to make an Attack targeting a specific limb, device mod, weapon, etc. on a creature at -2 on the Attack roll.  On a successful attack roll, disable a targeted component for the Scene</v>
      </c>
      <c r="J19" s="4" t="s">
        <v>2614</v>
      </c>
      <c r="K19" s="4" t="s">
        <v>2982</v>
      </c>
      <c r="L19" s="4" t="str">
        <f t="shared" si="2"/>
        <v>Targeted Shot</v>
      </c>
      <c r="M19" s="4" t="s">
        <v>20</v>
      </c>
      <c r="N19" s="4" t="s">
        <v>37</v>
      </c>
      <c r="O19" s="4" t="s">
        <v>3020</v>
      </c>
      <c r="P19" t="str">
        <f t="shared" si="3"/>
        <v>targeted-shot</v>
      </c>
      <c r="Q19" t="str">
        <f t="shared" si="4"/>
        <v>modules/cybermancy/assets/icons/domains/bullet/targeted-shot.webp</v>
      </c>
      <c r="R19" s="4" t="s">
        <v>2613</v>
      </c>
      <c r="S19" s="4" t="s">
        <v>2612</v>
      </c>
    </row>
    <row r="20" spans="1:19" ht="57.5" customHeight="1" x14ac:dyDescent="0.35">
      <c r="A20" s="4" t="s">
        <v>2639</v>
      </c>
      <c r="B20" s="4" t="s">
        <v>2584</v>
      </c>
      <c r="C20" t="str">
        <f t="shared" si="0"/>
        <v>modules/cybermancy/assets/icons/domains/bullet/improvised-weapon.webp</v>
      </c>
      <c r="D20" t="str">
        <f t="shared" si="1"/>
        <v>&lt;i&gt;The world is your arsenal.&lt;/i&gt;&lt;p class="Card-Feature"&gt;&lt;strong&gt;Mark 2 Stress&lt;/strong&gt; spend at least 1 minute to create a d6 melee weapon.</v>
      </c>
      <c r="E20" s="4" t="s">
        <v>2789</v>
      </c>
      <c r="F20" s="17">
        <v>5</v>
      </c>
      <c r="G20" s="4">
        <v>1</v>
      </c>
      <c r="H20" s="4" t="s">
        <v>2585</v>
      </c>
      <c r="I20" s="4" t="str">
        <f t="shared" si="5"/>
        <v>&lt;i&gt;The world is your arsenal.&lt;/i&gt;&lt;p class="Card-Feature"&gt;&lt;strong&gt;Mark 2 Stress&lt;/strong&gt; spend at least 1 minute to create a d6 melee weapon.</v>
      </c>
      <c r="J20" s="4" t="s">
        <v>2642</v>
      </c>
      <c r="K20" s="4" t="s">
        <v>2988</v>
      </c>
      <c r="L20" s="4" t="str">
        <f t="shared" si="2"/>
        <v>Improvised Weapon</v>
      </c>
      <c r="M20" s="4" t="s">
        <v>20</v>
      </c>
      <c r="N20" s="4" t="s">
        <v>37</v>
      </c>
      <c r="O20" s="4" t="s">
        <v>3021</v>
      </c>
      <c r="P20" t="str">
        <f t="shared" si="3"/>
        <v>improvised-weapon</v>
      </c>
      <c r="Q20" t="str">
        <f t="shared" si="4"/>
        <v>modules/cybermancy/assets/icons/domains/bullet/improvised-weapon.webp</v>
      </c>
      <c r="R20" s="4" t="s">
        <v>2641</v>
      </c>
      <c r="S20" s="4" t="s">
        <v>2640</v>
      </c>
    </row>
    <row r="21" spans="1:19" ht="57.5" customHeight="1" x14ac:dyDescent="0.35">
      <c r="A21" s="4" t="s">
        <v>2666</v>
      </c>
      <c r="B21" s="4" t="s">
        <v>2584</v>
      </c>
      <c r="C21" t="str">
        <f t="shared" si="0"/>
        <v>modules/cybermancy/assets/icons/domains/bullet/fixer.webp</v>
      </c>
      <c r="D21" t="str">
        <f t="shared" si="1"/>
        <v>&lt;i&gt;The streets remember your name.&lt;/i&gt;&lt;p class="Card-Feature"&gt;You have a contact for weapons. Weapon items cost less (GM discretion). Once per session, ask your Fixer information on any topic.</v>
      </c>
      <c r="E21" s="4" t="s">
        <v>2789</v>
      </c>
      <c r="F21" s="17">
        <v>5</v>
      </c>
      <c r="G21" s="4">
        <v>0</v>
      </c>
      <c r="H21" s="4" t="s">
        <v>2585</v>
      </c>
      <c r="I21" s="4" t="str">
        <f t="shared" si="5"/>
        <v>&lt;i&gt;The streets remember your name.&lt;/i&gt;&lt;p class="Card-Feature"&gt;You have a contact for weapons. Weapon items cost less (GM discretion). Once per session, ask your Fixer information on any topic.</v>
      </c>
      <c r="J21" s="4" t="s">
        <v>2669</v>
      </c>
      <c r="K21" s="4" t="s">
        <v>2993</v>
      </c>
      <c r="L21" s="4" t="str">
        <f t="shared" si="2"/>
        <v>Fixer</v>
      </c>
      <c r="M21" s="4" t="s">
        <v>59</v>
      </c>
      <c r="N21" s="4" t="s">
        <v>38</v>
      </c>
      <c r="O21" s="4"/>
      <c r="P21" t="str">
        <f t="shared" si="3"/>
        <v>fixer</v>
      </c>
      <c r="Q21" t="str">
        <f t="shared" si="4"/>
        <v>modules/cybermancy/assets/icons/domains/bullet/fixer.webp</v>
      </c>
      <c r="R21" s="4" t="s">
        <v>2668</v>
      </c>
      <c r="S21" s="4" t="s">
        <v>2667</v>
      </c>
    </row>
    <row r="22" spans="1:19" ht="57.5" customHeight="1" x14ac:dyDescent="0.35">
      <c r="A22" s="4" t="s">
        <v>2643</v>
      </c>
      <c r="B22" s="4" t="s">
        <v>2584</v>
      </c>
      <c r="C22" t="str">
        <f t="shared" si="0"/>
        <v>modules/cybermancy/assets/icons/domains/bullet/intimidation.webp</v>
      </c>
      <c r="D22" t="str">
        <f t="shared" si="1"/>
        <v>&lt;i&gt;Fear is the first bullet.&lt;/i&gt;&lt;p class="Card-Feature"&gt;With a visible gun, make Presence rolls at  +d4.  Once per Scene, &lt;strong&gt;Spend 1 Hope&lt;/strong&gt; to re-roll a Presence roll.</v>
      </c>
      <c r="E22" s="4" t="s">
        <v>2789</v>
      </c>
      <c r="F22" s="17">
        <v>6</v>
      </c>
      <c r="G22" s="4">
        <v>1</v>
      </c>
      <c r="H22" s="4" t="s">
        <v>2585</v>
      </c>
      <c r="I22" s="4" t="str">
        <f t="shared" si="5"/>
        <v>&lt;i&gt;Fear is the first bullet.&lt;/i&gt;&lt;p class="Card-Feature"&gt;With a visible gun, make Presence rolls at  +d4.  Once per Scene, &lt;strong&gt;Spend 1 Hope&lt;/strong&gt; to re-roll a Presence roll.</v>
      </c>
      <c r="J22" s="4" t="s">
        <v>2646</v>
      </c>
      <c r="K22" s="4" t="s">
        <v>2989</v>
      </c>
      <c r="L22" s="4" t="str">
        <f t="shared" si="2"/>
        <v>Intimidation</v>
      </c>
      <c r="M22" s="4" t="s">
        <v>20</v>
      </c>
      <c r="N22" s="4" t="s">
        <v>37</v>
      </c>
      <c r="O22" s="4" t="s">
        <v>3023</v>
      </c>
      <c r="P22" t="str">
        <f t="shared" si="3"/>
        <v>intimidation</v>
      </c>
      <c r="Q22" t="str">
        <f t="shared" si="4"/>
        <v>modules/cybermancy/assets/icons/domains/bullet/intimidation.webp</v>
      </c>
      <c r="R22" s="4" t="s">
        <v>2645</v>
      </c>
      <c r="S22" s="4" t="s">
        <v>2644</v>
      </c>
    </row>
    <row r="23" spans="1:19" ht="57.5" customHeight="1" x14ac:dyDescent="0.35">
      <c r="A23" s="4" t="s">
        <v>1407</v>
      </c>
      <c r="B23" s="4" t="s">
        <v>2584</v>
      </c>
      <c r="C23" t="str">
        <f t="shared" si="0"/>
        <v>modules/cybermancy/assets/icons/domains/bullet/burst-fire.webp</v>
      </c>
      <c r="D23" t="str">
        <f t="shared" si="1"/>
        <v>&lt;i&gt;Suppression by saturation.&lt;/i&gt;&lt;p class="Card-Feature"&gt;&lt;strong&gt;Mark 2 Stress&lt;/strong&gt;Attack up to your Proficiency number of targets within Far range in a 45 degree cone.  Make 1 Attack roll at +2 against the first target.  Subtract 2 from that value for the second target and subtract 2 more for each subsequent target.  (So, 1 roll of the Destiny dice, but the value is applied to all targets, starting at +2 and going down by 2 for each target after the first. Gun is emptied afterward and you must take an Action to reload before you can make another Attack action.</v>
      </c>
      <c r="E23" s="4" t="s">
        <v>2789</v>
      </c>
      <c r="F23" s="17">
        <v>6</v>
      </c>
      <c r="G23" s="4">
        <v>2</v>
      </c>
      <c r="H23" s="4" t="s">
        <v>2585</v>
      </c>
      <c r="I23" s="4" t="str">
        <f t="shared" si="5"/>
        <v>&lt;i&gt;Suppression by saturation.&lt;/i&gt;&lt;p class="Card-Feature"&gt;&lt;strong&gt;Mark 2 Stress&lt;/strong&gt;Attack up to your Proficiency number of targets within Far range in a 45 degree cone.  Make 1 Attack roll at +2 against the first target.  Subtract 2 from that value for the second target and subtract 2 more for each subsequent target.  (So, 1 roll of the Destiny dice, but the value is applied to all targets, starting at +2 and going down by 2 for each target after the first. Gun is emptied afterward and you must take an Action to reload before you can make another Attack action.</v>
      </c>
      <c r="J23" s="4" t="s">
        <v>2649</v>
      </c>
      <c r="K23" s="4" t="s">
        <v>3032</v>
      </c>
      <c r="L23" s="4" t="str">
        <f t="shared" si="2"/>
        <v>Burst Fire</v>
      </c>
      <c r="M23" s="4" t="s">
        <v>20</v>
      </c>
      <c r="N23" s="4" t="s">
        <v>37</v>
      </c>
      <c r="O23" s="4" t="s">
        <v>3021</v>
      </c>
      <c r="P23" t="str">
        <f t="shared" si="3"/>
        <v>burst-fire</v>
      </c>
      <c r="Q23" t="str">
        <f t="shared" si="4"/>
        <v>modules/cybermancy/assets/icons/domains/bullet/burst-fire.webp</v>
      </c>
      <c r="R23" s="4" t="s">
        <v>2648</v>
      </c>
      <c r="S23" s="4" t="s">
        <v>2647</v>
      </c>
    </row>
    <row r="24" spans="1:19" ht="57.5" customHeight="1" x14ac:dyDescent="0.35">
      <c r="A24" s="4" t="s">
        <v>2587</v>
      </c>
      <c r="B24" s="4" t="s">
        <v>2584</v>
      </c>
      <c r="C24" t="str">
        <f t="shared" si="0"/>
        <v>modules/cybermancy/assets/icons/domains/bullet/shoot-around-corners.webp</v>
      </c>
      <c r="D24" t="str">
        <f t="shared" si="1"/>
        <v>&lt;i&gt;Geometry is your ally.&lt;/i&gt;&lt;p class="Card-Feature"&gt;Hit a target around a 45° corner with disadvantage.</v>
      </c>
      <c r="E24" s="4" t="s">
        <v>2789</v>
      </c>
      <c r="F24" s="17">
        <v>8</v>
      </c>
      <c r="G24" s="4">
        <v>1</v>
      </c>
      <c r="H24" s="4" t="s">
        <v>2585</v>
      </c>
      <c r="I24" s="4" t="str">
        <f t="shared" si="5"/>
        <v>&lt;i&gt;Geometry is your ally.&lt;/i&gt;&lt;p class="Card-Feature"&gt;Hit a target around a 45° corner with disadvantage.</v>
      </c>
      <c r="J24" s="4" t="s">
        <v>2590</v>
      </c>
      <c r="K24" s="4" t="s">
        <v>2976</v>
      </c>
      <c r="L24" s="4" t="str">
        <f t="shared" si="2"/>
        <v>Shoot Around Corners</v>
      </c>
      <c r="M24" s="4" t="s">
        <v>59</v>
      </c>
      <c r="N24" s="4" t="s">
        <v>38</v>
      </c>
      <c r="O24" s="4"/>
      <c r="P24" t="str">
        <f t="shared" si="3"/>
        <v>shoot-around-corners</v>
      </c>
      <c r="Q24" t="str">
        <f t="shared" si="4"/>
        <v>modules/cybermancy/assets/icons/domains/bullet/shoot-around-corners.webp</v>
      </c>
      <c r="R24" s="4" t="s">
        <v>2589</v>
      </c>
      <c r="S24" s="4" t="s">
        <v>2588</v>
      </c>
    </row>
    <row r="25" spans="1:19" ht="57.5" customHeight="1" x14ac:dyDescent="0.35">
      <c r="A25" s="4" t="s">
        <v>2650</v>
      </c>
      <c r="B25" s="4" t="s">
        <v>2584</v>
      </c>
      <c r="C25" t="str">
        <f t="shared" si="0"/>
        <v>modules/cybermancy/assets/icons/domains/bullet/full-automatic.webp</v>
      </c>
      <c r="D25" t="str">
        <f t="shared" si="1"/>
        <v>&lt;i&gt;Mercy jammed with the trigger.&lt;/i&gt;&lt;p class="Card-Feature"&gt;&lt;strong&gt;Mark 4 Stress&lt;/strong&gt;Attack all targets within Very Far in a 90 degree cone.  Make 1 Attack roll at +2 against the first target, which must be at the left or right side of the cone, and all subsequent target is in the natural order sweeping through the cone.  Subtract 1 from that value for the second target and subtract 1 more for each subsequent target.  (So, 1 roll of the Destiny dice, but the value is applied to all targets, starting at +2 and going down by 1 for each target after the first). Gun is emptied afterward and you must take an Action to reload before you can make another Attack action.</v>
      </c>
      <c r="E25" s="4" t="s">
        <v>2789</v>
      </c>
      <c r="F25" s="17">
        <v>10</v>
      </c>
      <c r="G25" s="4">
        <v>2</v>
      </c>
      <c r="H25" s="4" t="s">
        <v>2585</v>
      </c>
      <c r="I25" s="4" t="str">
        <f t="shared" si="5"/>
        <v>&lt;i&gt;Mercy jammed with the trigger.&lt;/i&gt;&lt;p class="Card-Feature"&gt;&lt;strong&gt;Mark 4 Stress&lt;/strong&gt;Attack all targets within Very Far in a 90 degree cone.  Make 1 Attack roll at +2 against the first target, which must be at the left or right side of the cone, and all subsequent target is in the natural order sweeping through the cone.  Subtract 1 from that value for the second target and subtract 1 more for each subsequent target.  (So, 1 roll of the Destiny dice, but the value is applied to all targets, starting at +2 and going down by 1 for each target after the first). Gun is emptied afterward and you must take an Action to reload before you can make another Attack action.</v>
      </c>
      <c r="J25" s="4" t="s">
        <v>2653</v>
      </c>
      <c r="K25" s="4" t="s">
        <v>3033</v>
      </c>
      <c r="L25" s="4" t="str">
        <f t="shared" si="2"/>
        <v>Full Automatic</v>
      </c>
      <c r="M25" s="4" t="s">
        <v>20</v>
      </c>
      <c r="N25" s="4" t="s">
        <v>37</v>
      </c>
      <c r="O25" s="4" t="s">
        <v>3022</v>
      </c>
      <c r="P25" t="str">
        <f t="shared" si="3"/>
        <v>full-automatic</v>
      </c>
      <c r="Q25" t="str">
        <f t="shared" si="4"/>
        <v>modules/cybermancy/assets/icons/domains/bullet/full-automatic.webp</v>
      </c>
      <c r="R25" s="4" t="s">
        <v>2652</v>
      </c>
      <c r="S25" s="4" t="s">
        <v>2651</v>
      </c>
    </row>
    <row r="26" spans="1:19" ht="57.5" customHeight="1" x14ac:dyDescent="0.35">
      <c r="A26" s="16" t="s">
        <v>2519</v>
      </c>
      <c r="B26" s="4" t="s">
        <v>2584</v>
      </c>
      <c r="C26" t="str">
        <f t="shared" si="0"/>
        <v>modules/cybermancy/assets/icons/domains/circuit/patience-young-padawan.webp</v>
      </c>
      <c r="D26" t="str">
        <f t="shared" si="1"/>
        <v>&lt;i&gt;“Turns out, rushing a hack only impresses the ICE.”&lt;/i&gt;&lt;p class="Card-Feature"&gt;If you take at least 1 minute to study a device before attempting to hack it, gain advantage on your next Spellcasting (Hacking) roll against that system this scene.</v>
      </c>
      <c r="E26" t="s">
        <v>2788</v>
      </c>
      <c r="F26" s="13">
        <v>1</v>
      </c>
      <c r="G26" s="4">
        <v>0</v>
      </c>
      <c r="H26" s="4" t="s">
        <v>2585</v>
      </c>
      <c r="I26" s="4" t="str">
        <f t="shared" si="5"/>
        <v>&lt;i&gt;“Turns out, rushing a hack only impresses the ICE.”&lt;/i&gt;&lt;p class="Card-Feature"&gt;If you take at least 1 minute to study a device before attempting to hack it, gain advantage on your next Spellcasting (Hacking) roll against that system this scene.</v>
      </c>
      <c r="J26" s="4" t="s">
        <v>2522</v>
      </c>
      <c r="K26" s="4" t="s">
        <v>2956</v>
      </c>
      <c r="L26" s="4" t="str">
        <f t="shared" si="2"/>
        <v>Patience Young Padawan</v>
      </c>
      <c r="M26" s="4" t="s">
        <v>59</v>
      </c>
      <c r="N26" s="4" t="s">
        <v>37</v>
      </c>
      <c r="O26" s="4"/>
      <c r="P26" t="str">
        <f t="shared" si="3"/>
        <v>patience-young-padawan</v>
      </c>
      <c r="Q26" t="str">
        <f t="shared" si="4"/>
        <v>modules/cybermancy/assets/icons/domains/circuit/patience-young-padawan.webp</v>
      </c>
      <c r="S26" t="s">
        <v>2487</v>
      </c>
    </row>
    <row r="27" spans="1:19" ht="57.5" customHeight="1" x14ac:dyDescent="0.35">
      <c r="A27" s="16" t="s">
        <v>2523</v>
      </c>
      <c r="B27" s="4" t="s">
        <v>2584</v>
      </c>
      <c r="C27" t="str">
        <f t="shared" si="0"/>
        <v>modules/cybermancy/assets/icons/domains/circuit/quick-hack.webp</v>
      </c>
      <c r="D27" t="str">
        <f t="shared" si="1"/>
        <v>&lt;i&gt;“For when you don’t have time to be subtle… or alive.”&lt;/i&gt;&lt;p class="Card-Feature"&gt;Once per Scene, when you trigger an ICE countermeasure or trace feature, you can &lt;strong&gt;Mark 1 Stress&lt;/strong&gt; to use your Reaction against the Device difficulty to avoid the effect, or &lt;strong&gt;Mark 2 Stress&lt;/strong&gt; to avoid it without a roll.</v>
      </c>
      <c r="E27" t="s">
        <v>2788</v>
      </c>
      <c r="F27" s="13">
        <v>1</v>
      </c>
      <c r="G27" s="4">
        <v>1</v>
      </c>
      <c r="H27" s="4" t="s">
        <v>2585</v>
      </c>
      <c r="I27" s="4" t="str">
        <f t="shared" si="5"/>
        <v>&lt;i&gt;“For when you don’t have time to be subtle… or alive.”&lt;/i&gt;&lt;p class="Card-Feature"&gt;Once per Scene, when you trigger an ICE countermeasure or trace feature, you can &lt;strong&gt;Mark 1 Stress&lt;/strong&gt; to use your Reaction against the Device difficulty to avoid the effect, or &lt;strong&gt;Mark 2 Stress&lt;/strong&gt; to avoid it without a roll.</v>
      </c>
      <c r="J27" s="4" t="s">
        <v>2524</v>
      </c>
      <c r="K27" s="4" t="s">
        <v>2957</v>
      </c>
      <c r="L27" s="4" t="str">
        <f t="shared" si="2"/>
        <v>Quick Hack</v>
      </c>
      <c r="M27" s="4" t="s">
        <v>20</v>
      </c>
      <c r="N27" s="4" t="s">
        <v>37</v>
      </c>
      <c r="O27" s="4" t="s">
        <v>3020</v>
      </c>
      <c r="P27" t="str">
        <f t="shared" si="3"/>
        <v>quick-hack</v>
      </c>
      <c r="Q27" t="str">
        <f t="shared" si="4"/>
        <v>modules/cybermancy/assets/icons/domains/circuit/quick-hack.webp</v>
      </c>
      <c r="S27" t="s">
        <v>2487</v>
      </c>
    </row>
    <row r="28" spans="1:19" ht="57.5" customHeight="1" x14ac:dyDescent="0.35">
      <c r="A28" s="16" t="s">
        <v>2509</v>
      </c>
      <c r="B28" s="4" t="s">
        <v>2584</v>
      </c>
      <c r="C28" t="str">
        <f t="shared" si="0"/>
        <v>modules/cybermancy/assets/icons/domains/circuit/field-experience.webp</v>
      </c>
      <c r="D28" t="str">
        <f t="shared" si="1"/>
        <v>&lt;i&gt;“You’ve seen this circuit before — probably in the wreckage of your last run.”&lt;/i&gt;&lt;p class="Card-Feature"&gt;Once per Long Rest, put tokens on this card equal to your Spellcasting (Hacking) to gain one of the following effect: +1 on next Hack action, +1 on Evasion as a Reaction, Gain 1 Hope, Clear 1 Stress</v>
      </c>
      <c r="E28" t="s">
        <v>2788</v>
      </c>
      <c r="F28" s="13">
        <v>1</v>
      </c>
      <c r="G28" s="4">
        <v>1</v>
      </c>
      <c r="H28" s="4" t="s">
        <v>2585</v>
      </c>
      <c r="I28" s="4" t="str">
        <f t="shared" si="5"/>
        <v>&lt;i&gt;“You’ve seen this circuit before — probably in the wreckage of your last run.”&lt;/i&gt;&lt;p class="Card-Feature"&gt;Once per Long Rest, put tokens on this card equal to your Spellcasting (Hacking) to gain one of the following effect: +1 on next Hack action, +1 on Evasion as a Reaction, Gain 1 Hope, Clear 1 Stress</v>
      </c>
      <c r="J28" s="4" t="s">
        <v>2525</v>
      </c>
      <c r="K28" s="4" t="s">
        <v>2958</v>
      </c>
      <c r="L28" s="4" t="str">
        <f t="shared" si="2"/>
        <v>Field Experience</v>
      </c>
      <c r="M28" s="4" t="s">
        <v>59</v>
      </c>
      <c r="N28" s="4" t="s">
        <v>37</v>
      </c>
      <c r="O28" s="4"/>
      <c r="P28" t="str">
        <f t="shared" si="3"/>
        <v>field-experience</v>
      </c>
      <c r="Q28" t="str">
        <f t="shared" si="4"/>
        <v>modules/cybermancy/assets/icons/domains/circuit/field-experience.webp</v>
      </c>
      <c r="S28" t="s">
        <v>2510</v>
      </c>
    </row>
    <row r="29" spans="1:19" ht="57.5" customHeight="1" x14ac:dyDescent="0.35">
      <c r="A29" s="16" t="s">
        <v>2526</v>
      </c>
      <c r="B29" s="4" t="s">
        <v>2584</v>
      </c>
      <c r="C29" t="str">
        <f t="shared" si="0"/>
        <v>modules/cybermancy/assets/icons/domains/circuit/signal-boost.webp</v>
      </c>
      <c r="D29" t="str">
        <f t="shared" si="1"/>
        <v>&lt;i&gt;“Sometimes all you need is a better connection.”&lt;/i&gt;&lt;p class="Card-Feature"&gt;Once per Scene, you can reroute local energy or data flow. Choose one ally within Close range; they gain +1 to their next roll that involves technology or reflexes.</v>
      </c>
      <c r="E29" t="s">
        <v>2788</v>
      </c>
      <c r="F29" s="17">
        <v>1</v>
      </c>
      <c r="G29" s="4">
        <v>0</v>
      </c>
      <c r="H29" s="4" t="s">
        <v>2585</v>
      </c>
      <c r="I29" s="4" t="str">
        <f t="shared" si="5"/>
        <v>&lt;i&gt;“Sometimes all you need is a better connection.”&lt;/i&gt;&lt;p class="Card-Feature"&gt;Once per Scene, you can reroute local energy or data flow. Choose one ally within Close range; they gain +1 to their next roll that involves technology or reflexes.</v>
      </c>
      <c r="J29" s="4" t="s">
        <v>2527</v>
      </c>
      <c r="K29" s="4" t="s">
        <v>2959</v>
      </c>
      <c r="L29" s="4" t="str">
        <f t="shared" si="2"/>
        <v>Signal Boost</v>
      </c>
      <c r="M29" s="4" t="s">
        <v>20</v>
      </c>
      <c r="N29" s="4" t="s">
        <v>37</v>
      </c>
      <c r="O29" s="4"/>
      <c r="P29" t="str">
        <f t="shared" si="3"/>
        <v>signal-boost</v>
      </c>
      <c r="Q29" t="str">
        <f t="shared" si="4"/>
        <v>modules/cybermancy/assets/icons/domains/circuit/signal-boost.webp</v>
      </c>
      <c r="S29" t="s">
        <v>2505</v>
      </c>
    </row>
    <row r="30" spans="1:19" ht="57.5" customHeight="1" x14ac:dyDescent="0.35">
      <c r="A30" s="16" t="s">
        <v>2528</v>
      </c>
      <c r="B30" s="4" t="s">
        <v>2584</v>
      </c>
      <c r="C30" t="str">
        <f t="shared" si="0"/>
        <v>modules/cybermancy/assets/icons/domains/circuit/strobe-effect.webp</v>
      </c>
      <c r="D30" t="str">
        <f t="shared" si="1"/>
        <v>&lt;i&gt;“Flash ’em, crash ’em, and walk out glowing.”&lt;/i&gt;&lt;p class="Card-Feature"&gt;&lt;strong&gt;Spend 1 Hope&lt;/strong&gt; to use your Reaction to make a Device you have Infiltrated or Controlled successfully generate a distration.  The creature must spend 1 Fear to take their next Action and they have disadvantage if they attack with their next action.</v>
      </c>
      <c r="E30" t="s">
        <v>2788</v>
      </c>
      <c r="F30" s="13">
        <v>2</v>
      </c>
      <c r="G30" s="4">
        <v>1</v>
      </c>
      <c r="H30" s="4" t="s">
        <v>2585</v>
      </c>
      <c r="I30" s="4" t="str">
        <f t="shared" si="5"/>
        <v>&lt;i&gt;“Flash ’em, crash ’em, and walk out glowing.”&lt;/i&gt;&lt;p class="Card-Feature"&gt;&lt;strong&gt;Spend 1 Hope&lt;/strong&gt; to use your Reaction to make a Device you have Infiltrated or Controlled successfully generate a distration.  The creature must spend 1 Fear to take their next Action and they have disadvantage if they attack with their next action.</v>
      </c>
      <c r="J30" s="4" t="s">
        <v>2529</v>
      </c>
      <c r="K30" s="4" t="s">
        <v>2960</v>
      </c>
      <c r="L30" s="4" t="str">
        <f t="shared" si="2"/>
        <v>Strobe Effect</v>
      </c>
      <c r="M30" s="4" t="s">
        <v>20</v>
      </c>
      <c r="N30" s="4" t="s">
        <v>39</v>
      </c>
      <c r="O30" s="4" t="s">
        <v>3023</v>
      </c>
      <c r="P30" t="str">
        <f t="shared" si="3"/>
        <v>strobe-effect</v>
      </c>
      <c r="Q30" t="str">
        <f t="shared" si="4"/>
        <v>modules/cybermancy/assets/icons/domains/circuit/strobe-effect.webp</v>
      </c>
      <c r="S30" t="s">
        <v>2505</v>
      </c>
    </row>
    <row r="31" spans="1:19" ht="57.5" customHeight="1" x14ac:dyDescent="0.35">
      <c r="A31" s="16" t="s">
        <v>2530</v>
      </c>
      <c r="B31" s="4" t="s">
        <v>2584</v>
      </c>
      <c r="C31" t="str">
        <f t="shared" si="0"/>
        <v>modules/cybermancy/assets/icons/domains/circuit/elevate-permission.webp</v>
      </c>
      <c r="D31" t="str">
        <f t="shared" si="1"/>
        <v>&lt;i&gt;“Because root access is a state of mind.”&lt;/i&gt;&lt;p class="Card-Feature"&gt;&lt;strong&gt;Spend 1 Hope&lt;/strong&gt;to escalate your access level on a Device you are Hacking from Infiltration to Control.</v>
      </c>
      <c r="E31" t="s">
        <v>2788</v>
      </c>
      <c r="F31" s="13">
        <v>2</v>
      </c>
      <c r="G31" s="4">
        <v>0</v>
      </c>
      <c r="H31" s="4" t="s">
        <v>2585</v>
      </c>
      <c r="I31" s="4" t="str">
        <f t="shared" si="5"/>
        <v>&lt;i&gt;“Because root access is a state of mind.”&lt;/i&gt;&lt;p class="Card-Feature"&gt;&lt;strong&gt;Spend 1 Hope&lt;/strong&gt;to escalate your access level on a Device you are Hacking from Infiltration to Control.</v>
      </c>
      <c r="J31" s="4" t="s">
        <v>2531</v>
      </c>
      <c r="K31" s="4" t="s">
        <v>3025</v>
      </c>
      <c r="L31" s="4" t="str">
        <f t="shared" si="2"/>
        <v>Elevate Permission</v>
      </c>
      <c r="M31" s="4" t="s">
        <v>20</v>
      </c>
      <c r="N31" s="4" t="s">
        <v>37</v>
      </c>
      <c r="O31" s="4" t="s">
        <v>3023</v>
      </c>
      <c r="P31" t="str">
        <f t="shared" si="3"/>
        <v>elevate-permission</v>
      </c>
      <c r="Q31" t="str">
        <f t="shared" si="4"/>
        <v>modules/cybermancy/assets/icons/domains/circuit/elevate-permission.webp</v>
      </c>
      <c r="S31" t="s">
        <v>2506</v>
      </c>
    </row>
    <row r="32" spans="1:19" ht="57.5" customHeight="1" x14ac:dyDescent="0.35">
      <c r="A32" s="16" t="s">
        <v>2532</v>
      </c>
      <c r="B32" s="4" t="s">
        <v>2584</v>
      </c>
      <c r="C32" t="str">
        <f t="shared" si="0"/>
        <v>modules/cybermancy/assets/icons/domains/circuit/ghost-signal.webp</v>
      </c>
      <c r="D32" t="str">
        <f t="shared" si="1"/>
        <v>&lt;i&gt;“Sometimes your best ally is a flickering echo of bad code.”&lt;/i&gt;&lt;p class="Card-Feature"&gt;Target 1 weapon within Far, &lt;strong&gt;Spend 1 Hope&lt;/strong&gt; and make a Spellcasting check (12).  On a success, any non-primative weapon malfunctions and requires an action to clear it, and thereafter has a -1 for any Action using it.</v>
      </c>
      <c r="E32" t="s">
        <v>2788</v>
      </c>
      <c r="F32" s="13">
        <v>2</v>
      </c>
      <c r="G32" s="4">
        <v>1</v>
      </c>
      <c r="H32" s="4" t="s">
        <v>2585</v>
      </c>
      <c r="I32" s="4" t="str">
        <f t="shared" si="5"/>
        <v>&lt;i&gt;“Sometimes your best ally is a flickering echo of bad code.”&lt;/i&gt;&lt;p class="Card-Feature"&gt;Target 1 weapon within Far, &lt;strong&gt;Spend 1 Hope&lt;/strong&gt; and make a Spellcasting check (12).  On a success, any non-primative weapon malfunctions and requires an action to clear it, and thereafter has a -1 for any Action using it.</v>
      </c>
      <c r="J32" s="4" t="s">
        <v>2533</v>
      </c>
      <c r="K32" s="4" t="s">
        <v>2961</v>
      </c>
      <c r="L32" s="4" t="str">
        <f t="shared" si="2"/>
        <v>Ghost Signal</v>
      </c>
      <c r="M32" s="4" t="s">
        <v>20</v>
      </c>
      <c r="N32" s="4" t="s">
        <v>37</v>
      </c>
      <c r="O32" s="4" t="s">
        <v>3023</v>
      </c>
      <c r="P32" t="str">
        <f t="shared" si="3"/>
        <v>ghost-signal</v>
      </c>
      <c r="Q32" t="str">
        <f t="shared" si="4"/>
        <v>modules/cybermancy/assets/icons/domains/circuit/ghost-signal.webp</v>
      </c>
      <c r="S32" t="s">
        <v>2505</v>
      </c>
    </row>
    <row r="33" spans="1:19" ht="57.5" customHeight="1" x14ac:dyDescent="0.35">
      <c r="A33" s="16" t="s">
        <v>2534</v>
      </c>
      <c r="B33" s="4" t="s">
        <v>2584</v>
      </c>
      <c r="C33" t="str">
        <f t="shared" si="0"/>
        <v>modules/cybermancy/assets/icons/domains/circuit/static-veil.webp</v>
      </c>
      <c r="D33" t="str">
        <f t="shared" si="1"/>
        <v>&lt;i&gt;“The perfect invisibility cloak smells faintly of ozone.”&lt;/i&gt;&lt;p class="Card-Feature"&gt;&lt;strong&gt;Spend 1 Hope&lt;/strong&gt; to emit an electromagnetic haze that blurs surveillance and scanners. For one Scene, creatures roll with Disadvantage to detect you or your team.</v>
      </c>
      <c r="E33" t="s">
        <v>2788</v>
      </c>
      <c r="F33" s="17">
        <v>2</v>
      </c>
      <c r="G33" s="4">
        <v>1</v>
      </c>
      <c r="H33" s="4" t="s">
        <v>2585</v>
      </c>
      <c r="I33" s="4" t="str">
        <f t="shared" si="5"/>
        <v>&lt;i&gt;“The perfect invisibility cloak smells faintly of ozone.”&lt;/i&gt;&lt;p class="Card-Feature"&gt;&lt;strong&gt;Spend 1 Hope&lt;/strong&gt; to emit an electromagnetic haze that blurs surveillance and scanners. For one Scene, creatures roll with Disadvantage to detect you or your team.</v>
      </c>
      <c r="J33" s="4" t="s">
        <v>2536</v>
      </c>
      <c r="K33" s="4" t="s">
        <v>2962</v>
      </c>
      <c r="L33" s="4" t="str">
        <f t="shared" si="2"/>
        <v>Static Veil</v>
      </c>
      <c r="M33" s="4" t="s">
        <v>20</v>
      </c>
      <c r="N33" s="4" t="s">
        <v>37</v>
      </c>
      <c r="O33" s="4" t="s">
        <v>3023</v>
      </c>
      <c r="P33" t="str">
        <f t="shared" si="3"/>
        <v>static-veil</v>
      </c>
      <c r="Q33" t="str">
        <f t="shared" si="4"/>
        <v>modules/cybermancy/assets/icons/domains/circuit/static-veil.webp</v>
      </c>
      <c r="S33" t="s">
        <v>2505</v>
      </c>
    </row>
    <row r="34" spans="1:19" ht="57.5" customHeight="1" x14ac:dyDescent="0.35">
      <c r="A34" s="1" t="s">
        <v>1504</v>
      </c>
      <c r="B34" s="4" t="s">
        <v>2584</v>
      </c>
      <c r="C34" t="str">
        <f t="shared" ref="C34:C65" si="6">Q34</f>
        <v>modules/cybermancy/assets/icons/domains/circuit/overload.webp</v>
      </c>
      <c r="D34" t="str">
        <f t="shared" ref="D34:D65" si="7">I34</f>
        <v>&lt;i&gt;“Push it past the redline — what’s the worst that could happen?”&lt;/i&gt;&lt;p class="Card-Feature"&gt;Make a Spellcasting roll (15) to make a device you Control explode causing all Adversaries within Very Close of the Device to take 2d6 damage, and all within Close take 1d6</v>
      </c>
      <c r="E34" t="s">
        <v>2788</v>
      </c>
      <c r="F34" s="13">
        <v>3</v>
      </c>
      <c r="G34" s="4">
        <v>2</v>
      </c>
      <c r="H34" s="4" t="s">
        <v>2585</v>
      </c>
      <c r="I34" s="4" t="str">
        <f t="shared" ref="I34:I65" si="8">"&lt;i&gt;" &amp; J34 &amp; "&lt;/i&gt;" &amp; K34</f>
        <v>&lt;i&gt;“Push it past the redline — what’s the worst that could happen?”&lt;/i&gt;&lt;p class="Card-Feature"&gt;Make a Spellcasting roll (15) to make a device you Control explode causing all Adversaries within Very Close of the Device to take 2d6 damage, and all within Close take 1d6</v>
      </c>
      <c r="J34" s="4" t="s">
        <v>2537</v>
      </c>
      <c r="K34" s="4" t="s">
        <v>2963</v>
      </c>
      <c r="L34" s="4" t="str">
        <f t="shared" ref="L34:L65" si="9">A34</f>
        <v>Overload</v>
      </c>
      <c r="M34" s="4" t="s">
        <v>20</v>
      </c>
      <c r="N34" s="4" t="s">
        <v>37</v>
      </c>
      <c r="O34" s="4"/>
      <c r="P34" t="str">
        <f t="shared" ref="P34:P65" si="10">SUBSTITUTE(LOWER(A34), " ", "-")</f>
        <v>overload</v>
      </c>
      <c r="Q34" t="str">
        <f t="shared" ref="Q34:Q65" si="11">"modules/cybermancy/assets/icons/domains/" &amp; E34 &amp; "/" &amp; P34 &amp; ".webp"</f>
        <v>modules/cybermancy/assets/icons/domains/circuit/overload.webp</v>
      </c>
      <c r="S34" t="s">
        <v>2505</v>
      </c>
    </row>
    <row r="35" spans="1:19" ht="57.5" customHeight="1" x14ac:dyDescent="0.35">
      <c r="A35" s="1" t="s">
        <v>2485</v>
      </c>
      <c r="B35" s="4" t="s">
        <v>2584</v>
      </c>
      <c r="C35" t="str">
        <f t="shared" si="6"/>
        <v>modules/cybermancy/assets/icons/domains/circuit/deep-search.webp</v>
      </c>
      <c r="D35" t="str">
        <f t="shared" si="7"/>
        <v>&lt;i&gt;“The Grid whispers, if you know how to listen.”&lt;/i&gt;&lt;p class="Card-Feature"&gt;&lt;strong&gt;Spend 2 Hope&lt;/strong&gt; to know something about an creature.  As the GM up to 3 yes/no questions.</v>
      </c>
      <c r="E35" t="s">
        <v>2788</v>
      </c>
      <c r="F35" s="13">
        <v>3</v>
      </c>
      <c r="G35" s="4">
        <v>0</v>
      </c>
      <c r="H35" s="4" t="s">
        <v>2585</v>
      </c>
      <c r="I35" s="4" t="str">
        <f t="shared" si="8"/>
        <v>&lt;i&gt;“The Grid whispers, if you know how to listen.”&lt;/i&gt;&lt;p class="Card-Feature"&gt;&lt;strong&gt;Spend 2 Hope&lt;/strong&gt; to know something about an creature.  As the GM up to 3 yes/no questions.</v>
      </c>
      <c r="J35" s="4" t="s">
        <v>2538</v>
      </c>
      <c r="K35" s="4" t="s">
        <v>2964</v>
      </c>
      <c r="L35" s="4" t="str">
        <f t="shared" si="9"/>
        <v>Deep search</v>
      </c>
      <c r="M35" s="4" t="s">
        <v>20</v>
      </c>
      <c r="N35" s="4" t="s">
        <v>37</v>
      </c>
      <c r="O35" s="4" t="s">
        <v>3024</v>
      </c>
      <c r="P35" t="str">
        <f t="shared" si="10"/>
        <v>deep-search</v>
      </c>
      <c r="Q35" t="str">
        <f t="shared" si="11"/>
        <v>modules/cybermancy/assets/icons/domains/circuit/deep-search.webp</v>
      </c>
      <c r="S35" t="s">
        <v>2511</v>
      </c>
    </row>
    <row r="36" spans="1:19" ht="57.5" customHeight="1" x14ac:dyDescent="0.35">
      <c r="A36" s="1" t="s">
        <v>2516</v>
      </c>
      <c r="B36" s="4" t="s">
        <v>2584</v>
      </c>
      <c r="C36" t="str">
        <f t="shared" si="6"/>
        <v>modules/cybermancy/assets/icons/domains/circuit/all-quiet-here,-how-are-you?.webp</v>
      </c>
      <c r="D36" t="str">
        <f t="shared" si="7"/>
        <v>&lt;i&gt;“If at first you don’t succeed, reboot and lie about it.”&lt;/i&gt;&lt;p class="Card-Feature"&gt;Mark Stress (up to your Proficiency) to lower the System Alert one level per Stress marked.</v>
      </c>
      <c r="E36" t="s">
        <v>2788</v>
      </c>
      <c r="F36" s="13">
        <v>3</v>
      </c>
      <c r="G36" s="4">
        <v>1</v>
      </c>
      <c r="H36" s="4" t="s">
        <v>2585</v>
      </c>
      <c r="I36" s="4" t="str">
        <f t="shared" si="8"/>
        <v>&lt;i&gt;“If at first you don’t succeed, reboot and lie about it.”&lt;/i&gt;&lt;p class="Card-Feature"&gt;Mark Stress (up to your Proficiency) to lower the System Alert one level per Stress marked.</v>
      </c>
      <c r="J36" s="4" t="s">
        <v>2539</v>
      </c>
      <c r="K36" s="4" t="s">
        <v>2965</v>
      </c>
      <c r="L36" s="4" t="str">
        <f t="shared" si="9"/>
        <v>All quiet here, how are you?</v>
      </c>
      <c r="M36" s="4" t="s">
        <v>20</v>
      </c>
      <c r="N36" s="4" t="s">
        <v>37</v>
      </c>
      <c r="O36" s="4" t="s">
        <v>3020</v>
      </c>
      <c r="P36" t="str">
        <f t="shared" si="10"/>
        <v>all-quiet-here,-how-are-you?</v>
      </c>
      <c r="Q36" t="str">
        <f t="shared" si="11"/>
        <v>modules/cybermancy/assets/icons/domains/circuit/all-quiet-here,-how-are-you?.webp</v>
      </c>
      <c r="S36" t="s">
        <v>2517</v>
      </c>
    </row>
    <row r="37" spans="1:19" ht="57.5" customHeight="1" x14ac:dyDescent="0.35">
      <c r="A37" s="16" t="s">
        <v>2955</v>
      </c>
      <c r="B37" s="4" t="s">
        <v>2584</v>
      </c>
      <c r="C37" t="str">
        <f t="shared" si="6"/>
        <v>modules/cybermancy/assets/icons/domains/circuit/neural-sync.webp</v>
      </c>
      <c r="D37" t="str">
        <f t="shared" si="7"/>
        <v>&lt;i&gt;“Two heads, one neural network.”&lt;/i&gt;&lt;p class="Card-Feature"&gt;&lt;strong&gt;Spend 1 Hope&lt;/strong&gt; to instantly share sensory data with one ally within Far range. You both gain +1 to rolls using shared perception for one Scene.</v>
      </c>
      <c r="E37" t="s">
        <v>2788</v>
      </c>
      <c r="F37" s="17">
        <v>3</v>
      </c>
      <c r="G37" s="4">
        <v>0</v>
      </c>
      <c r="H37" s="4" t="s">
        <v>2585</v>
      </c>
      <c r="I37" s="4" t="str">
        <f t="shared" si="8"/>
        <v>&lt;i&gt;“Two heads, one neural network.”&lt;/i&gt;&lt;p class="Card-Feature"&gt;&lt;strong&gt;Spend 1 Hope&lt;/strong&gt; to instantly share sensory data with one ally within Far range. You both gain +1 to rolls using shared perception for one Scene.</v>
      </c>
      <c r="J37" s="4" t="s">
        <v>2540</v>
      </c>
      <c r="K37" s="4" t="s">
        <v>2966</v>
      </c>
      <c r="L37" s="4" t="str">
        <f t="shared" si="9"/>
        <v>Neural Sync</v>
      </c>
      <c r="M37" s="4" t="s">
        <v>20</v>
      </c>
      <c r="N37" s="4" t="s">
        <v>37</v>
      </c>
      <c r="O37" s="4" t="s">
        <v>3023</v>
      </c>
      <c r="P37" t="str">
        <f t="shared" si="10"/>
        <v>neural-sync</v>
      </c>
      <c r="Q37" t="str">
        <f t="shared" si="11"/>
        <v>modules/cybermancy/assets/icons/domains/circuit/neural-sync.webp</v>
      </c>
      <c r="S37" t="s">
        <v>2505</v>
      </c>
    </row>
    <row r="38" spans="1:19" ht="57.5" customHeight="1" x14ac:dyDescent="0.35">
      <c r="A38" s="16" t="s">
        <v>2541</v>
      </c>
      <c r="B38" s="4" t="s">
        <v>2584</v>
      </c>
      <c r="C38" t="str">
        <f t="shared" si="6"/>
        <v>modules/cybermancy/assets/icons/domains/circuit/synchronized-uplink.webp</v>
      </c>
      <c r="D38" t="str">
        <f t="shared" si="7"/>
        <v>&lt;i&gt;“When the team shares your mind, chaos becomes choreography.”&lt;/i&gt;&lt;p class="Card-Feature"&gt;At the beginning of the session, place a number of tokens on this card equal to your Spellcasting Trait.  Make a Spellcasting roll and target any creature you can see or detect within Very Far; on a success, send them a transmission (e.g. "they ran down the hall!").  They will believe the information and act accordingly ... usually</v>
      </c>
      <c r="E38" t="s">
        <v>2788</v>
      </c>
      <c r="F38" s="13">
        <v>4</v>
      </c>
      <c r="G38" s="4">
        <v>2</v>
      </c>
      <c r="H38" s="4" t="s">
        <v>2585</v>
      </c>
      <c r="I38" s="4" t="str">
        <f t="shared" si="8"/>
        <v>&lt;i&gt;“When the team shares your mind, chaos becomes choreography.”&lt;/i&gt;&lt;p class="Card-Feature"&gt;At the beginning of the session, place a number of tokens on this card equal to your Spellcasting Trait.  Make a Spellcasting roll and target any creature you can see or detect within Very Far; on a success, send them a transmission (e.g. "they ran down the hall!").  They will believe the information and act accordingly ... usually</v>
      </c>
      <c r="J38" s="4" t="s">
        <v>2542</v>
      </c>
      <c r="K38" s="4" t="s">
        <v>2967</v>
      </c>
      <c r="L38" s="4" t="str">
        <f t="shared" si="9"/>
        <v>Synchronized Uplink</v>
      </c>
      <c r="M38" s="4" t="s">
        <v>20</v>
      </c>
      <c r="N38" s="4" t="s">
        <v>37</v>
      </c>
      <c r="O38" s="4" t="s">
        <v>3021</v>
      </c>
      <c r="P38" t="str">
        <f t="shared" si="10"/>
        <v>synchronized-uplink</v>
      </c>
      <c r="Q38" t="str">
        <f t="shared" si="11"/>
        <v>modules/cybermancy/assets/icons/domains/circuit/synchronized-uplink.webp</v>
      </c>
      <c r="S38" t="s">
        <v>2518</v>
      </c>
    </row>
    <row r="39" spans="1:19" ht="57.5" customHeight="1" x14ac:dyDescent="0.35">
      <c r="A39" s="1" t="s">
        <v>2488</v>
      </c>
      <c r="B39" s="4" t="s">
        <v>2584</v>
      </c>
      <c r="C39" t="str">
        <f t="shared" si="6"/>
        <v>modules/cybermancy/assets/icons/domains/circuit/digital-recon.webp</v>
      </c>
      <c r="D39" t="str">
        <f t="shared" si="7"/>
        <v>&lt;i&gt;“Your paranoia finally pays dividends.”&lt;/i&gt;&lt;p class="Card-Feature"&gt;Before entering an Environment, make a Spellcasting (Hacking) roll (13), to gain information about the security stance of the target (what Tier levels of ICE are used, how many levels to the security, what System Alert responses are possible, etc.).  On a failure, all Devices in the Enviroment have a Difficulty +1.</v>
      </c>
      <c r="E39" t="s">
        <v>2788</v>
      </c>
      <c r="F39" s="13">
        <v>4</v>
      </c>
      <c r="G39" s="4">
        <v>1</v>
      </c>
      <c r="H39" s="4" t="s">
        <v>2585</v>
      </c>
      <c r="I39" s="4" t="str">
        <f t="shared" si="8"/>
        <v>&lt;i&gt;“Your paranoia finally pays dividends.”&lt;/i&gt;&lt;p class="Card-Feature"&gt;Before entering an Environment, make a Spellcasting (Hacking) roll (13), to gain information about the security stance of the target (what Tier levels of ICE are used, how many levels to the security, what System Alert responses are possible, etc.).  On a failure, all Devices in the Enviroment have a Difficulty +1.</v>
      </c>
      <c r="J39" s="4" t="s">
        <v>2543</v>
      </c>
      <c r="K39" s="4" t="s">
        <v>2968</v>
      </c>
      <c r="L39" s="4" t="str">
        <f t="shared" si="9"/>
        <v>Digital Recon</v>
      </c>
      <c r="M39" s="4" t="s">
        <v>20</v>
      </c>
      <c r="N39" s="4" t="s">
        <v>37</v>
      </c>
      <c r="O39" s="4"/>
      <c r="P39" t="str">
        <f t="shared" si="10"/>
        <v>digital-recon</v>
      </c>
      <c r="Q39" t="str">
        <f t="shared" si="11"/>
        <v>modules/cybermancy/assets/icons/domains/circuit/digital-recon.webp</v>
      </c>
      <c r="S39" t="s">
        <v>2510</v>
      </c>
    </row>
    <row r="40" spans="1:19" ht="57.5" customHeight="1" x14ac:dyDescent="0.35">
      <c r="A40" s="1" t="s">
        <v>2512</v>
      </c>
      <c r="B40" s="4" t="s">
        <v>2584</v>
      </c>
      <c r="C40" t="str">
        <f t="shared" si="6"/>
        <v>modules/cybermancy/assets/icons/domains/circuit/short-circuit.webp</v>
      </c>
      <c r="D40" t="str">
        <f t="shared" si="7"/>
        <v>&lt;i&gt;“Sometimes the best fix is a hard crash.”&lt;/i&gt;&lt;p class="Card-Feature"&gt;Once per rest, target any mechanical Adversaries (Drones, robots, etc.) within Far and make a Spellcasting roll against the Adversaries's Difficulty.  On a success, the target loses its next round and takes d8+2 damage</v>
      </c>
      <c r="E40" t="s">
        <v>2788</v>
      </c>
      <c r="F40" s="13">
        <v>4</v>
      </c>
      <c r="G40" s="4">
        <v>2</v>
      </c>
      <c r="H40" s="4" t="s">
        <v>2585</v>
      </c>
      <c r="I40" s="4" t="str">
        <f t="shared" si="8"/>
        <v>&lt;i&gt;“Sometimes the best fix is a hard crash.”&lt;/i&gt;&lt;p class="Card-Feature"&gt;Once per rest, target any mechanical Adversaries (Drones, robots, etc.) within Far and make a Spellcasting roll against the Adversaries's Difficulty.  On a success, the target loses its next round and takes d8+2 damage</v>
      </c>
      <c r="J40" s="4" t="s">
        <v>2544</v>
      </c>
      <c r="K40" s="4" t="s">
        <v>3026</v>
      </c>
      <c r="L40" s="4" t="str">
        <f t="shared" si="9"/>
        <v>Short Circuit</v>
      </c>
      <c r="M40" s="4" t="s">
        <v>20</v>
      </c>
      <c r="N40" s="4" t="s">
        <v>37</v>
      </c>
      <c r="O40" s="4"/>
      <c r="P40" t="str">
        <f t="shared" si="10"/>
        <v>short-circuit</v>
      </c>
      <c r="Q40" t="str">
        <f t="shared" si="11"/>
        <v>modules/cybermancy/assets/icons/domains/circuit/short-circuit.webp</v>
      </c>
      <c r="S40" t="s">
        <v>2505</v>
      </c>
    </row>
    <row r="41" spans="1:19" ht="57.5" customHeight="1" x14ac:dyDescent="0.35">
      <c r="A41" s="1" t="s">
        <v>2514</v>
      </c>
      <c r="B41" s="4" t="s">
        <v>2584</v>
      </c>
      <c r="C41" t="str">
        <f t="shared" si="6"/>
        <v>modules/cybermancy/assets/icons/domains/circuit/cybernetics-syndrome.webp</v>
      </c>
      <c r="D41" t="str">
        <f t="shared" si="7"/>
        <v>&lt;i&gt;“When code and soul sync, reality gets a patch update.”&lt;/i&gt;&lt;p class="Card-Feature"&gt;Your Digital Awareness can now detect cybernetics within individuals up to your Tier level.  You can &lt;strong&gt;Spend 1 Hope&lt;/strong&gt; to make a Spellcasting roll against a cybernetically enhanced individual within Far.  On a success, place a number of tokens on thie card equal to your Spellcasting Abiliity level.  Take an Action to apply one of the following effects: 1) Visual hallucinations, 2) Audio hallucinations, 3) &lt;strong&gt;Mark 1 Stress&lt;/strong&gt; to give them disadvantage on their next Action, 4) -4 Evasion until they take an Action to remove the effect.</v>
      </c>
      <c r="E41" t="s">
        <v>2788</v>
      </c>
      <c r="F41" s="13">
        <v>5</v>
      </c>
      <c r="G41" s="4">
        <v>1</v>
      </c>
      <c r="H41" s="4" t="s">
        <v>2585</v>
      </c>
      <c r="I41" s="4" t="str">
        <f t="shared" si="8"/>
        <v>&lt;i&gt;“When code and soul sync, reality gets a patch update.”&lt;/i&gt;&lt;p class="Card-Feature"&gt;Your Digital Awareness can now detect cybernetics within individuals up to your Tier level.  You can &lt;strong&gt;Spend 1 Hope&lt;/strong&gt; to make a Spellcasting roll against a cybernetically enhanced individual within Far.  On a success, place a number of tokens on thie card equal to your Spellcasting Abiliity level.  Take an Action to apply one of the following effects: 1) Visual hallucinations, 2) Audio hallucinations, 3) &lt;strong&gt;Mark 1 Stress&lt;/strong&gt; to give them disadvantage on their next Action, 4) -4 Evasion until they take an Action to remove the effect.</v>
      </c>
      <c r="J41" s="4" t="s">
        <v>2545</v>
      </c>
      <c r="K41" s="4" t="s">
        <v>2969</v>
      </c>
      <c r="L41" s="4" t="str">
        <f t="shared" si="9"/>
        <v>Cybernetics syndrome</v>
      </c>
      <c r="M41" s="4" t="s">
        <v>20</v>
      </c>
      <c r="N41" s="4" t="s">
        <v>37</v>
      </c>
      <c r="O41" s="4" t="s">
        <v>3023</v>
      </c>
      <c r="P41" t="str">
        <f t="shared" si="10"/>
        <v>cybernetics-syndrome</v>
      </c>
      <c r="Q41" t="str">
        <f t="shared" si="11"/>
        <v>modules/cybermancy/assets/icons/domains/circuit/cybernetics-syndrome.webp</v>
      </c>
      <c r="S41" t="s">
        <v>2505</v>
      </c>
    </row>
    <row r="42" spans="1:19" ht="57.5" customHeight="1" x14ac:dyDescent="0.35">
      <c r="A42" s="16" t="s">
        <v>2546</v>
      </c>
      <c r="B42" s="4" t="s">
        <v>2584</v>
      </c>
      <c r="C42" t="str">
        <f t="shared" si="6"/>
        <v>modules/cybermancy/assets/icons/domains/circuit/smartwire-reflex.webp</v>
      </c>
      <c r="D42" t="str">
        <f t="shared" si="7"/>
        <v>&lt;i&gt;“You’re half machine — might as well let it drive.”&lt;/i&gt;&lt;p class="Card-Feature"&gt;Once per Scene, you may reroll one failed Agility, Spellcasting or Finesse roll as your implants auto-correct your motion.</v>
      </c>
      <c r="E42" t="s">
        <v>2788</v>
      </c>
      <c r="F42" s="17">
        <v>5</v>
      </c>
      <c r="G42" s="4">
        <v>0</v>
      </c>
      <c r="H42" s="4" t="s">
        <v>2585</v>
      </c>
      <c r="I42" s="4" t="str">
        <f t="shared" si="8"/>
        <v>&lt;i&gt;“You’re half machine — might as well let it drive.”&lt;/i&gt;&lt;p class="Card-Feature"&gt;Once per Scene, you may reroll one failed Agility, Spellcasting or Finesse roll as your implants auto-correct your motion.</v>
      </c>
      <c r="J42" s="4" t="s">
        <v>2548</v>
      </c>
      <c r="K42" s="4" t="s">
        <v>2970</v>
      </c>
      <c r="L42" s="4" t="str">
        <f t="shared" si="9"/>
        <v>Smartwire Reflex</v>
      </c>
      <c r="M42" s="4" t="s">
        <v>20</v>
      </c>
      <c r="N42" s="4" t="s">
        <v>37</v>
      </c>
      <c r="O42" s="4"/>
      <c r="P42" t="str">
        <f t="shared" si="10"/>
        <v>smartwire-reflex</v>
      </c>
      <c r="Q42" t="str">
        <f t="shared" si="11"/>
        <v>modules/cybermancy/assets/icons/domains/circuit/smartwire-reflex.webp</v>
      </c>
      <c r="S42" t="s">
        <v>2505</v>
      </c>
    </row>
    <row r="43" spans="1:19" ht="57.5" customHeight="1" x14ac:dyDescent="0.35">
      <c r="A43" s="16" t="s">
        <v>2549</v>
      </c>
      <c r="B43" s="4" t="s">
        <v>2584</v>
      </c>
      <c r="C43" t="str">
        <f t="shared" si="6"/>
        <v>modules/cybermancy/assets/icons/domains/circuit/ghost-protocol.webp</v>
      </c>
      <c r="D43" t="str">
        <f t="shared" si="7"/>
        <v>&lt;i&gt;“Being off the grid never felt so literal.”&lt;/i&gt;&lt;p class="Card-Feature"&gt;&lt;strong&gt;Spend 1 Hope&lt;/strong&gt; to temporarily erase your digital and heat signatures. Until the end of the Scene, you cannot be tracked by sensors or cameras, and Devices or creatures targeting you have a -2 to hit.</v>
      </c>
      <c r="E43" t="s">
        <v>2788</v>
      </c>
      <c r="F43" s="17">
        <v>5</v>
      </c>
      <c r="G43" s="4">
        <v>2</v>
      </c>
      <c r="H43" s="4" t="s">
        <v>2585</v>
      </c>
      <c r="I43" s="4" t="str">
        <f t="shared" si="8"/>
        <v>&lt;i&gt;“Being off the grid never felt so literal.”&lt;/i&gt;&lt;p class="Card-Feature"&gt;&lt;strong&gt;Spend 1 Hope&lt;/strong&gt; to temporarily erase your digital and heat signatures. Until the end of the Scene, you cannot be tracked by sensors or cameras, and Devices or creatures targeting you have a -2 to hit.</v>
      </c>
      <c r="J43" s="4" t="s">
        <v>2551</v>
      </c>
      <c r="K43" s="4" t="s">
        <v>2971</v>
      </c>
      <c r="L43" s="4" t="str">
        <f t="shared" si="9"/>
        <v>Ghost Protocol</v>
      </c>
      <c r="M43" s="4" t="s">
        <v>20</v>
      </c>
      <c r="N43" s="4" t="s">
        <v>37</v>
      </c>
      <c r="O43" s="4" t="s">
        <v>3023</v>
      </c>
      <c r="P43" t="str">
        <f t="shared" si="10"/>
        <v>ghost-protocol</v>
      </c>
      <c r="Q43" t="str">
        <f t="shared" si="11"/>
        <v>modules/cybermancy/assets/icons/domains/circuit/ghost-protocol.webp</v>
      </c>
      <c r="S43" t="s">
        <v>2550</v>
      </c>
    </row>
    <row r="44" spans="1:19" ht="57.5" customHeight="1" x14ac:dyDescent="0.35">
      <c r="A44" s="1" t="s">
        <v>2507</v>
      </c>
      <c r="B44" s="4" t="s">
        <v>2584</v>
      </c>
      <c r="C44" t="str">
        <f t="shared" si="6"/>
        <v>modules/cybermancy/assets/icons/domains/circuit/creative-coding.webp</v>
      </c>
      <c r="D44" t="str">
        <f t="shared" si="7"/>
        <v>&lt;i&gt;“If at first you don’t succeed, reboot and lie about it.”&lt;/i&gt;&lt;p class="Card-Feature"&gt;Once per long rest, add a new Digital Feature to a Device that it didn't originally have (GM's discretion)</v>
      </c>
      <c r="E44" t="s">
        <v>2788</v>
      </c>
      <c r="F44" s="13">
        <v>6</v>
      </c>
      <c r="G44" s="4">
        <v>1</v>
      </c>
      <c r="H44" s="4" t="s">
        <v>2585</v>
      </c>
      <c r="I44" s="4" t="str">
        <f t="shared" si="8"/>
        <v>&lt;i&gt;“If at first you don’t succeed, reboot and lie about it.”&lt;/i&gt;&lt;p class="Card-Feature"&gt;Once per long rest, add a new Digital Feature to a Device that it didn't originally have (GM's discretion)</v>
      </c>
      <c r="J44" s="4" t="s">
        <v>2539</v>
      </c>
      <c r="K44" s="4" t="s">
        <v>3027</v>
      </c>
      <c r="L44" s="4" t="str">
        <f t="shared" si="9"/>
        <v>Creative coding</v>
      </c>
      <c r="M44" s="4" t="s">
        <v>20</v>
      </c>
      <c r="N44" s="4" t="s">
        <v>37</v>
      </c>
      <c r="O44" s="4"/>
      <c r="P44" t="str">
        <f t="shared" si="10"/>
        <v>creative-coding</v>
      </c>
      <c r="Q44" t="str">
        <f t="shared" si="11"/>
        <v>modules/cybermancy/assets/icons/domains/circuit/creative-coding.webp</v>
      </c>
      <c r="S44" t="s">
        <v>2508</v>
      </c>
    </row>
    <row r="45" spans="1:19" ht="57.5" customHeight="1" x14ac:dyDescent="0.35">
      <c r="A45" s="16" t="s">
        <v>2552</v>
      </c>
      <c r="B45" s="4" t="s">
        <v>2584</v>
      </c>
      <c r="C45" t="str">
        <f t="shared" si="6"/>
        <v>modules/cybermancy/assets/icons/domains/circuit/feedback-spike.webp</v>
      </c>
      <c r="D45" t="str">
        <f t="shared" si="7"/>
        <v>&lt;i&gt;“Return to sender.”&lt;/i&gt;&lt;p class="Card-Feature"&gt;As a Reaction, &lt;strong&gt;Spend 1 Hope&lt;/strong&gt; when taking damage from a digital or ranged source to reflect part of it back — attacker marks 2 Stress.</v>
      </c>
      <c r="E45" t="s">
        <v>2788</v>
      </c>
      <c r="F45" s="17">
        <v>6</v>
      </c>
      <c r="G45" s="4">
        <v>1</v>
      </c>
      <c r="H45" s="4" t="s">
        <v>2585</v>
      </c>
      <c r="I45" s="4" t="str">
        <f t="shared" si="8"/>
        <v>&lt;i&gt;“Return to sender.”&lt;/i&gt;&lt;p class="Card-Feature"&gt;As a Reaction, &lt;strong&gt;Spend 1 Hope&lt;/strong&gt; when taking damage from a digital or ranged source to reflect part of it back — attacker marks 2 Stress.</v>
      </c>
      <c r="J45" s="4" t="s">
        <v>2553</v>
      </c>
      <c r="K45" s="4" t="s">
        <v>3028</v>
      </c>
      <c r="L45" s="4" t="str">
        <f t="shared" si="9"/>
        <v>Feedback Spike</v>
      </c>
      <c r="M45" s="4" t="s">
        <v>20</v>
      </c>
      <c r="N45" s="4" t="s">
        <v>39</v>
      </c>
      <c r="O45" s="4" t="s">
        <v>3023</v>
      </c>
      <c r="P45" t="str">
        <f t="shared" si="10"/>
        <v>feedback-spike</v>
      </c>
      <c r="Q45" t="str">
        <f t="shared" si="11"/>
        <v>modules/cybermancy/assets/icons/domains/circuit/feedback-spike.webp</v>
      </c>
      <c r="S45" t="s">
        <v>2505</v>
      </c>
    </row>
    <row r="46" spans="1:19" ht="57.5" customHeight="1" x14ac:dyDescent="0.35">
      <c r="A46" s="1" t="s">
        <v>2513</v>
      </c>
      <c r="B46" s="4" t="s">
        <v>2584</v>
      </c>
      <c r="C46" t="str">
        <f t="shared" si="6"/>
        <v>modules/cybermancy/assets/icons/domains/circuit/matrix-mind.webp</v>
      </c>
      <c r="D46" t="str">
        <f t="shared" si="7"/>
        <v>&lt;i&gt;"It's full of stars… !"&lt;/i&gt;&lt;p class="Card-Feature"&gt;When 4 or more domain cards in your loadout  are from Circuit, gain the following effects: +1 to your Spellcasting (Hacking) rolls, once per rest you can switch the result of your Hope and Fear dice</v>
      </c>
      <c r="E46" t="s">
        <v>2788</v>
      </c>
      <c r="F46" s="13">
        <v>7</v>
      </c>
      <c r="G46" s="4">
        <v>2</v>
      </c>
      <c r="H46" s="4" t="s">
        <v>2585</v>
      </c>
      <c r="I46" s="4" t="str">
        <f t="shared" si="8"/>
        <v>&lt;i&gt;"It's full of stars… !"&lt;/i&gt;&lt;p class="Card-Feature"&gt;When 4 or more domain cards in your loadout  are from Circuit, gain the following effects: +1 to your Spellcasting (Hacking) rolls, once per rest you can switch the result of your Hope and Fear dice</v>
      </c>
      <c r="J46" s="4" t="s">
        <v>2554</v>
      </c>
      <c r="K46" s="4" t="s">
        <v>2972</v>
      </c>
      <c r="L46" s="4" t="str">
        <f t="shared" si="9"/>
        <v>Matrix mind</v>
      </c>
      <c r="M46" s="4" t="s">
        <v>59</v>
      </c>
      <c r="N46" s="4" t="s">
        <v>38</v>
      </c>
      <c r="O46" s="4"/>
      <c r="P46" t="str">
        <f t="shared" si="10"/>
        <v>matrix-mind</v>
      </c>
      <c r="Q46" t="str">
        <f t="shared" si="11"/>
        <v>modules/cybermancy/assets/icons/domains/circuit/matrix-mind.webp</v>
      </c>
      <c r="S46" t="s">
        <v>2510</v>
      </c>
    </row>
    <row r="47" spans="1:19" ht="57.5" customHeight="1" x14ac:dyDescent="0.35">
      <c r="A47" s="1" t="s">
        <v>2515</v>
      </c>
      <c r="B47" s="4" t="s">
        <v>2584</v>
      </c>
      <c r="C47" t="str">
        <f t="shared" si="6"/>
        <v>modules/cybermancy/assets/icons/domains/circuit/cyberware-malfunction.webp</v>
      </c>
      <c r="D47" t="str">
        <f t="shared" si="7"/>
        <v>&lt;i&gt;“Every brain’s got a port — some just need a gentle knock.”&lt;/i&gt;&lt;p class="Card-Feature"&gt;Your Digital Awareness can now detect cybernetics within individuals.  &lt;strong&gt;Spend 2 Hope&lt;/strong&gt; and make a Spellcasting roll against their Difficulty, to do d10+3 damage</v>
      </c>
      <c r="E47" t="s">
        <v>2788</v>
      </c>
      <c r="F47" s="13">
        <v>8</v>
      </c>
      <c r="G47" s="4">
        <v>2</v>
      </c>
      <c r="H47" s="4" t="s">
        <v>2585</v>
      </c>
      <c r="I47" s="4" t="str">
        <f t="shared" si="8"/>
        <v>&lt;i&gt;“Every brain’s got a port — some just need a gentle knock.”&lt;/i&gt;&lt;p class="Card-Feature"&gt;Your Digital Awareness can now detect cybernetics within individuals.  &lt;strong&gt;Spend 2 Hope&lt;/strong&gt; and make a Spellcasting roll against their Difficulty, to do d10+3 damage</v>
      </c>
      <c r="J47" s="4" t="s">
        <v>2555</v>
      </c>
      <c r="K47" s="4" t="s">
        <v>2973</v>
      </c>
      <c r="L47" s="4" t="str">
        <f t="shared" si="9"/>
        <v>Cyberware Malfunction</v>
      </c>
      <c r="M47" s="4" t="s">
        <v>20</v>
      </c>
      <c r="N47" s="4" t="s">
        <v>37</v>
      </c>
      <c r="O47" s="4" t="s">
        <v>3024</v>
      </c>
      <c r="P47" t="str">
        <f t="shared" si="10"/>
        <v>cyberware-malfunction</v>
      </c>
      <c r="Q47" t="str">
        <f t="shared" si="11"/>
        <v>modules/cybermancy/assets/icons/domains/circuit/cyberware-malfunction.webp</v>
      </c>
      <c r="S47" t="s">
        <v>2505</v>
      </c>
    </row>
    <row r="48" spans="1:19" ht="57.5" customHeight="1" x14ac:dyDescent="0.35">
      <c r="A48" s="16" t="s">
        <v>2556</v>
      </c>
      <c r="B48" s="4" t="s">
        <v>2584</v>
      </c>
      <c r="C48" t="str">
        <f t="shared" si="6"/>
        <v>modules/cybermancy/assets/icons/domains/circuit/reality-patch.webp</v>
      </c>
      <c r="D48" t="str">
        <f t="shared" si="7"/>
        <v>&lt;i&gt;“If you can code it, you can unbreak it.”&lt;/i&gt;&lt;p class="Card-Feature"&gt;&lt;strong&gt;Spend 1 Hope&lt;/strong&gt; to temporarily stabilize or rewrite corrupted digital space. Remove one ongoing Environment Digital effect.</v>
      </c>
      <c r="E48" t="s">
        <v>2788</v>
      </c>
      <c r="F48" s="17">
        <v>8</v>
      </c>
      <c r="G48" s="4">
        <v>1</v>
      </c>
      <c r="H48" s="4" t="s">
        <v>2585</v>
      </c>
      <c r="I48" s="4" t="str">
        <f t="shared" si="8"/>
        <v>&lt;i&gt;“If you can code it, you can unbreak it.”&lt;/i&gt;&lt;p class="Card-Feature"&gt;&lt;strong&gt;Spend 1 Hope&lt;/strong&gt; to temporarily stabilize or rewrite corrupted digital space. Remove one ongoing Environment Digital effect.</v>
      </c>
      <c r="J48" s="4" t="s">
        <v>2557</v>
      </c>
      <c r="K48" s="4" t="s">
        <v>2974</v>
      </c>
      <c r="L48" s="4" t="str">
        <f t="shared" si="9"/>
        <v>Reality Patch</v>
      </c>
      <c r="M48" s="4" t="s">
        <v>20</v>
      </c>
      <c r="N48" s="4" t="s">
        <v>37</v>
      </c>
      <c r="O48" s="4" t="s">
        <v>3023</v>
      </c>
      <c r="P48" t="str">
        <f t="shared" si="10"/>
        <v>reality-patch</v>
      </c>
      <c r="Q48" t="str">
        <f t="shared" si="11"/>
        <v>modules/cybermancy/assets/icons/domains/circuit/reality-patch.webp</v>
      </c>
      <c r="S48" t="s">
        <v>2550</v>
      </c>
    </row>
    <row r="49" spans="1:19" ht="57.5" customHeight="1" x14ac:dyDescent="0.35">
      <c r="A49" s="1" t="s">
        <v>2486</v>
      </c>
      <c r="B49" s="4" t="s">
        <v>2584</v>
      </c>
      <c r="C49" t="str">
        <f t="shared" si="6"/>
        <v>modules/cybermancy/assets/icons/domains/circuit/deep-fake.webp</v>
      </c>
      <c r="D49" t="str">
        <f t="shared" si="7"/>
        <v>&lt;i&gt;“The universe called — it wants its encryption key back.”&lt;/i&gt;&lt;p class="Card-Feature"&gt;Spend up to 5 Hope to make up something about a character or adversary and (GM descretion) it becomes true.  The more Hope spent, the more outlanding the thing made up can be.</v>
      </c>
      <c r="E49" t="s">
        <v>2788</v>
      </c>
      <c r="F49" s="13">
        <v>9</v>
      </c>
      <c r="G49" s="4">
        <v>1</v>
      </c>
      <c r="H49" s="4" t="s">
        <v>2585</v>
      </c>
      <c r="I49" s="4" t="str">
        <f t="shared" si="8"/>
        <v>&lt;i&gt;“The universe called — it wants its encryption key back.”&lt;/i&gt;&lt;p class="Card-Feature"&gt;Spend up to 5 Hope to make up something about a character or adversary and (GM descretion) it becomes true.  The more Hope spent, the more outlanding the thing made up can be.</v>
      </c>
      <c r="J49" s="4" t="s">
        <v>2558</v>
      </c>
      <c r="K49" s="4" t="s">
        <v>2975</v>
      </c>
      <c r="L49" s="4" t="str">
        <f t="shared" si="9"/>
        <v>Deep fake</v>
      </c>
      <c r="M49" s="4" t="s">
        <v>20</v>
      </c>
      <c r="N49" s="4" t="s">
        <v>37</v>
      </c>
      <c r="O49" s="4" t="s">
        <v>3023</v>
      </c>
      <c r="P49" t="str">
        <f t="shared" si="10"/>
        <v>deep-fake</v>
      </c>
      <c r="Q49" t="str">
        <f t="shared" si="11"/>
        <v>modules/cybermancy/assets/icons/domains/circuit/deep-fake.webp</v>
      </c>
      <c r="S49" t="s">
        <v>2517</v>
      </c>
    </row>
    <row r="50" spans="1:19" ht="57.5" customHeight="1" x14ac:dyDescent="0.35">
      <c r="A50" s="4" t="s">
        <v>2684</v>
      </c>
      <c r="B50" s="4" t="s">
        <v>2584</v>
      </c>
      <c r="C50" t="str">
        <f t="shared" si="6"/>
        <v>modules/cybermancy/assets/icons/domains/maker/patch-job.webp</v>
      </c>
      <c r="D50" t="str">
        <f t="shared" si="7"/>
        <v>&lt;i&gt;Duct tape, hope, and brilliance.&lt;/i&gt;&lt;p class="Card-Feature"&gt;Once per rest, &lt;strong&gt;Mark 1 Stress&lt;/strong&gt; to restore 2 HP to your &lt;b&gt;Primary Drone&lt;/b&gt;.</v>
      </c>
      <c r="E50" s="4" t="s">
        <v>2790</v>
      </c>
      <c r="F50" s="17">
        <v>1</v>
      </c>
      <c r="G50" s="4">
        <v>0</v>
      </c>
      <c r="H50" s="4" t="s">
        <v>2585</v>
      </c>
      <c r="I50" s="4" t="str">
        <f t="shared" si="8"/>
        <v>&lt;i&gt;Duct tape, hope, and brilliance.&lt;/i&gt;&lt;p class="Card-Feature"&gt;Once per rest, &lt;strong&gt;Mark 1 Stress&lt;/strong&gt; to restore 2 HP to your &lt;b&gt;Primary Drone&lt;/b&gt;.</v>
      </c>
      <c r="J50" s="4" t="s">
        <v>2687</v>
      </c>
      <c r="K50" s="4" t="s">
        <v>2997</v>
      </c>
      <c r="L50" s="4" t="str">
        <f t="shared" si="9"/>
        <v>Patch Job</v>
      </c>
      <c r="M50" s="4" t="s">
        <v>30</v>
      </c>
      <c r="N50" s="4" t="s">
        <v>37</v>
      </c>
      <c r="O50" s="4" t="s">
        <v>3020</v>
      </c>
      <c r="P50" t="str">
        <f t="shared" si="10"/>
        <v>patch-job</v>
      </c>
      <c r="Q50" t="str">
        <f t="shared" si="11"/>
        <v>modules/cybermancy/assets/icons/domains/maker/patch-job.webp</v>
      </c>
      <c r="R50" s="4" t="s">
        <v>2686</v>
      </c>
      <c r="S50" s="4" t="s">
        <v>2685</v>
      </c>
    </row>
    <row r="51" spans="1:19" ht="57.5" customHeight="1" x14ac:dyDescent="0.35">
      <c r="A51" s="4" t="s">
        <v>2696</v>
      </c>
      <c r="B51" s="4" t="s">
        <v>2584</v>
      </c>
      <c r="C51" t="str">
        <f t="shared" si="6"/>
        <v>modules/cybermancy/assets/icons/domains/maker/explosive-detonation.webp</v>
      </c>
      <c r="D51" t="str">
        <f t="shared" si="7"/>
        <v>&lt;i&gt;Precision demolition by proxy.&lt;/i&gt;&lt;p class="Card-Feature"&gt;At the start of the Session, place tokens on this card equal to your proficiency level.  Take an Action to Spend one token to detonate an explosion within Far range. Target takes d8+2 damage; all others within Very Close of the target take d6. &lt;strong&gt;Mark 2 Stress&lt;/strong&gt; to refresh this card with tokens</v>
      </c>
      <c r="E51" s="4" t="s">
        <v>2790</v>
      </c>
      <c r="F51" s="17">
        <v>1</v>
      </c>
      <c r="G51" s="4">
        <v>2</v>
      </c>
      <c r="H51" s="4" t="s">
        <v>2585</v>
      </c>
      <c r="I51" s="4" t="str">
        <f t="shared" si="8"/>
        <v>&lt;i&gt;Precision demolition by proxy.&lt;/i&gt;&lt;p class="Card-Feature"&gt;At the start of the Session, place tokens on this card equal to your proficiency level.  Take an Action to Spend one token to detonate an explosion within Far range. Target takes d8+2 damage; all others within Very Close of the target take d6. &lt;strong&gt;Mark 2 Stress&lt;/strong&gt; to refresh this card with tokens</v>
      </c>
      <c r="J51" s="4" t="s">
        <v>2699</v>
      </c>
      <c r="K51" s="4" t="s">
        <v>3034</v>
      </c>
      <c r="L51" s="4" t="str">
        <f t="shared" si="9"/>
        <v>Explosive Detonation</v>
      </c>
      <c r="M51" s="4" t="s">
        <v>20</v>
      </c>
      <c r="N51" s="4" t="s">
        <v>37</v>
      </c>
      <c r="O51" s="4" t="s">
        <v>3021</v>
      </c>
      <c r="P51" t="str">
        <f t="shared" si="10"/>
        <v>explosive-detonation</v>
      </c>
      <c r="Q51" t="str">
        <f t="shared" si="11"/>
        <v>modules/cybermancy/assets/icons/domains/maker/explosive-detonation.webp</v>
      </c>
      <c r="R51" s="4" t="s">
        <v>2698</v>
      </c>
      <c r="S51" s="4" t="s">
        <v>2697</v>
      </c>
    </row>
    <row r="52" spans="1:19" ht="57.5" customHeight="1" x14ac:dyDescent="0.35">
      <c r="A52" s="4" t="s">
        <v>2754</v>
      </c>
      <c r="B52" s="4" t="s">
        <v>2584</v>
      </c>
      <c r="C52" t="str">
        <f t="shared" si="6"/>
        <v>modules/cybermancy/assets/icons/domains/maker/drone-control.webp</v>
      </c>
      <c r="D52" t="str">
        <f t="shared" si="7"/>
        <v>&lt;i&gt;Precision through proxies.&lt;/i&gt;&lt;p class="Card-Feature"&gt;As an Action, &lt;strong&gt;Spend 1 Hope&lt;/strong&gt; for your &lt;b&gt;Primary Drone&lt;/b&gt; to attack at +2.</v>
      </c>
      <c r="E52" s="4" t="s">
        <v>2790</v>
      </c>
      <c r="F52" s="17">
        <v>1</v>
      </c>
      <c r="G52" s="4">
        <v>1</v>
      </c>
      <c r="H52" s="4" t="s">
        <v>2585</v>
      </c>
      <c r="I52" s="4" t="str">
        <f t="shared" si="8"/>
        <v>&lt;i&gt;Precision through proxies.&lt;/i&gt;&lt;p class="Card-Feature"&gt;As an Action, &lt;strong&gt;Spend 1 Hope&lt;/strong&gt; for your &lt;b&gt;Primary Drone&lt;/b&gt; to attack at +2.</v>
      </c>
      <c r="J52" s="4" t="s">
        <v>2757</v>
      </c>
      <c r="K52" s="4" t="s">
        <v>2998</v>
      </c>
      <c r="L52" s="4" t="str">
        <f t="shared" si="9"/>
        <v>Drone Control</v>
      </c>
      <c r="M52" s="4" t="s">
        <v>20</v>
      </c>
      <c r="N52" s="4" t="s">
        <v>37</v>
      </c>
      <c r="O52" s="4" t="s">
        <v>3023</v>
      </c>
      <c r="P52" t="str">
        <f t="shared" si="10"/>
        <v>drone-control</v>
      </c>
      <c r="Q52" t="str">
        <f t="shared" si="11"/>
        <v>modules/cybermancy/assets/icons/domains/maker/drone-control.webp</v>
      </c>
      <c r="R52" s="4" t="s">
        <v>2756</v>
      </c>
      <c r="S52" s="4" t="s">
        <v>2755</v>
      </c>
    </row>
    <row r="53" spans="1:19" ht="57.5" customHeight="1" x14ac:dyDescent="0.35">
      <c r="A53" s="4" t="s">
        <v>2758</v>
      </c>
      <c r="B53" s="4" t="s">
        <v>2584</v>
      </c>
      <c r="C53" t="str">
        <f t="shared" si="6"/>
        <v>modules/cybermancy/assets/icons/domains/maker/drone-maneuver.webp</v>
      </c>
      <c r="D53" t="str">
        <f t="shared" si="7"/>
        <v>&lt;i&gt;Dodge by remote instinct.&lt;/i&gt;&lt;p class="Card-Feature"&gt;As a Reaction, &lt;strong&gt;Mark 1 Stress&lt;/strong&gt; to give your &lt;b&gt;Primary Drone&lt;/b&gt; +2 Evasion for one attack before results are determined.</v>
      </c>
      <c r="E53" s="4" t="s">
        <v>2790</v>
      </c>
      <c r="F53" s="17">
        <v>1</v>
      </c>
      <c r="G53" s="4">
        <v>1</v>
      </c>
      <c r="H53" s="4" t="s">
        <v>2585</v>
      </c>
      <c r="I53" s="4" t="str">
        <f t="shared" si="8"/>
        <v>&lt;i&gt;Dodge by remote instinct.&lt;/i&gt;&lt;p class="Card-Feature"&gt;As a Reaction, &lt;strong&gt;Mark 1 Stress&lt;/strong&gt; to give your &lt;b&gt;Primary Drone&lt;/b&gt; +2 Evasion for one attack before results are determined.</v>
      </c>
      <c r="J53" s="4" t="s">
        <v>2761</v>
      </c>
      <c r="K53" s="4" t="s">
        <v>2999</v>
      </c>
      <c r="L53" s="4" t="str">
        <f t="shared" si="9"/>
        <v>Drone Maneuver</v>
      </c>
      <c r="M53" s="4" t="s">
        <v>20</v>
      </c>
      <c r="N53" s="4" t="s">
        <v>39</v>
      </c>
      <c r="O53" s="4" t="s">
        <v>3020</v>
      </c>
      <c r="P53" t="str">
        <f t="shared" si="10"/>
        <v>drone-maneuver</v>
      </c>
      <c r="Q53" t="str">
        <f t="shared" si="11"/>
        <v>modules/cybermancy/assets/icons/domains/maker/drone-maneuver.webp</v>
      </c>
      <c r="R53" s="4" t="s">
        <v>2760</v>
      </c>
      <c r="S53" s="4" t="s">
        <v>2759</v>
      </c>
    </row>
    <row r="54" spans="1:19" ht="57.5" customHeight="1" x14ac:dyDescent="0.35">
      <c r="A54" s="4" t="s">
        <v>2705</v>
      </c>
      <c r="B54" s="4" t="s">
        <v>2584</v>
      </c>
      <c r="C54" t="str">
        <f t="shared" si="6"/>
        <v>modules/cybermancy/assets/icons/domains/maker/drone-swarm.webp</v>
      </c>
      <c r="D54" t="str">
        <f t="shared" si="7"/>
        <v>&lt;i&gt;You are never outnumbered.&lt;/i&gt;&lt;p class="Card-Feature"&gt;Once per long rest, place tokens on this card equal to your proficiency level.  As a Reaction, spend 1 token to have one of the following effects to 1 target creatures &lt;ol&gt;&lt;li&gt;Harass. (-1 all rolls), &lt;li&gt;Suppress (-1 evasion), &lt;li&gt;Assist (+1 evasion)&lt;/ol&gt;. Discard all remaining tokens at the end of the Scene.</v>
      </c>
      <c r="E54" s="4" t="s">
        <v>2790</v>
      </c>
      <c r="F54" s="17">
        <v>2</v>
      </c>
      <c r="G54" s="4">
        <v>1</v>
      </c>
      <c r="H54" s="4" t="s">
        <v>2585</v>
      </c>
      <c r="I54" s="4" t="str">
        <f t="shared" si="8"/>
        <v>&lt;i&gt;You are never outnumbered.&lt;/i&gt;&lt;p class="Card-Feature"&gt;Once per long rest, place tokens on this card equal to your proficiency level.  As a Reaction, spend 1 token to have one of the following effects to 1 target creatures &lt;ol&gt;&lt;li&gt;Harass. (-1 all rolls), &lt;li&gt;Suppress (-1 evasion), &lt;li&gt;Assist (+1 evasion)&lt;/ol&gt;. Discard all remaining tokens at the end of the Scene.</v>
      </c>
      <c r="J54" s="4" t="s">
        <v>2707</v>
      </c>
      <c r="K54" s="4" t="s">
        <v>3001</v>
      </c>
      <c r="L54" s="4" t="str">
        <f t="shared" si="9"/>
        <v>Drone Swarm</v>
      </c>
      <c r="M54" s="4" t="s">
        <v>59</v>
      </c>
      <c r="N54" s="4" t="s">
        <v>38</v>
      </c>
      <c r="O54" s="4"/>
      <c r="P54" t="str">
        <f t="shared" si="10"/>
        <v>drone-swarm</v>
      </c>
      <c r="Q54" t="str">
        <f t="shared" si="11"/>
        <v>modules/cybermancy/assets/icons/domains/maker/drone-swarm.webp</v>
      </c>
      <c r="R54" s="4" t="s">
        <v>2706</v>
      </c>
      <c r="S54" s="4" t="s">
        <v>2659</v>
      </c>
    </row>
    <row r="55" spans="1:19" ht="57.5" customHeight="1" x14ac:dyDescent="0.35">
      <c r="A55" s="4" t="s">
        <v>233</v>
      </c>
      <c r="B55" s="4" t="s">
        <v>2584</v>
      </c>
      <c r="C55" t="str">
        <f t="shared" si="6"/>
        <v>modules/cybermancy/assets/icons/domains/maker/armorer.webp</v>
      </c>
      <c r="D55" t="str">
        <f t="shared" si="7"/>
        <v>&lt;i&gt;Armor is just skin for machines.&lt;/i&gt;&lt;p class="Card-Feature"&gt;During downtime, &lt;strong&gt;Spend 1 Hope&lt;/strong&gt; to repair up to 3 armor slots for yourself or an ally.</v>
      </c>
      <c r="E55" s="4" t="s">
        <v>2790</v>
      </c>
      <c r="F55" s="17">
        <v>2</v>
      </c>
      <c r="G55" s="4">
        <v>0</v>
      </c>
      <c r="H55" s="4" t="s">
        <v>2585</v>
      </c>
      <c r="I55" s="4" t="str">
        <f t="shared" si="8"/>
        <v>&lt;i&gt;Armor is just skin for machines.&lt;/i&gt;&lt;p class="Card-Feature"&gt;During downtime, &lt;strong&gt;Spend 1 Hope&lt;/strong&gt; to repair up to 3 armor slots for yourself or an ally.</v>
      </c>
      <c r="J55" s="4" t="s">
        <v>2745</v>
      </c>
      <c r="K55" s="4" t="s">
        <v>3002</v>
      </c>
      <c r="L55" s="4" t="str">
        <f t="shared" si="9"/>
        <v>Armorer</v>
      </c>
      <c r="M55" s="4" t="s">
        <v>59</v>
      </c>
      <c r="N55" s="4" t="s">
        <v>38</v>
      </c>
      <c r="O55" s="4" t="s">
        <v>3023</v>
      </c>
      <c r="P55" t="str">
        <f t="shared" si="10"/>
        <v>armorer</v>
      </c>
      <c r="Q55" t="str">
        <f t="shared" si="11"/>
        <v>modules/cybermancy/assets/icons/domains/maker/armorer.webp</v>
      </c>
      <c r="R55" s="4" t="s">
        <v>2744</v>
      </c>
      <c r="S55" s="4" t="s">
        <v>2743</v>
      </c>
    </row>
    <row r="56" spans="1:19" ht="57.5" customHeight="1" x14ac:dyDescent="0.35">
      <c r="A56" s="4" t="s">
        <v>2692</v>
      </c>
      <c r="B56" s="4" t="s">
        <v>2584</v>
      </c>
      <c r="C56" t="str">
        <f t="shared" si="6"/>
        <v>modules/cybermancy/assets/icons/domains/maker/improvised-mod.webp</v>
      </c>
      <c r="D56" t="str">
        <f t="shared" si="7"/>
        <v>&lt;i&gt;Improvise, adapt, overclock.&lt;/i&gt;&lt;p class="Card-Feature"&gt;Once per long rest, &lt;strong&gt;Spend 2 Hope&lt;/strong&gt; to add a temporary extra mod to your &lt;b&gt;Primary Drone&lt;/b&gt; for the current scene.  At the end of the Scene, remove 1 mod.</v>
      </c>
      <c r="E56" s="4" t="s">
        <v>2790</v>
      </c>
      <c r="F56" s="17">
        <v>3</v>
      </c>
      <c r="G56" s="4">
        <v>2</v>
      </c>
      <c r="H56" s="4" t="s">
        <v>2585</v>
      </c>
      <c r="I56" s="4" t="str">
        <f t="shared" si="8"/>
        <v>&lt;i&gt;Improvise, adapt, overclock.&lt;/i&gt;&lt;p class="Card-Feature"&gt;Once per long rest, &lt;strong&gt;Spend 2 Hope&lt;/strong&gt; to add a temporary extra mod to your &lt;b&gt;Primary Drone&lt;/b&gt; for the current scene.  At the end of the Scene, remove 1 mod.</v>
      </c>
      <c r="J56" s="4" t="s">
        <v>2695</v>
      </c>
      <c r="K56" s="4" t="s">
        <v>3000</v>
      </c>
      <c r="L56" s="4" t="str">
        <f t="shared" si="9"/>
        <v>Improvised Mod</v>
      </c>
      <c r="M56" s="4" t="s">
        <v>20</v>
      </c>
      <c r="N56" s="4" t="s">
        <v>37</v>
      </c>
      <c r="O56" s="4" t="s">
        <v>3024</v>
      </c>
      <c r="P56" t="str">
        <f t="shared" si="10"/>
        <v>improvised-mod</v>
      </c>
      <c r="Q56" t="str">
        <f t="shared" si="11"/>
        <v>modules/cybermancy/assets/icons/domains/maker/improvised-mod.webp</v>
      </c>
      <c r="R56" s="4" t="s">
        <v>2694</v>
      </c>
      <c r="S56" s="4" t="s">
        <v>2693</v>
      </c>
    </row>
    <row r="57" spans="1:19" ht="57.5" customHeight="1" x14ac:dyDescent="0.35">
      <c r="A57" s="4" t="s">
        <v>2708</v>
      </c>
      <c r="B57" s="4" t="s">
        <v>2584</v>
      </c>
      <c r="C57" t="str">
        <f t="shared" si="6"/>
        <v>modules/cybermancy/assets/icons/domains/maker/getaway-vehicle.webp</v>
      </c>
      <c r="D57" t="str">
        <f t="shared" si="7"/>
        <v>&lt;i&gt;Drive fast, live smarter.&lt;/i&gt;&lt;p class="Card-Feature"&gt;You own a vehicle large enough for your team - describe the vehicle on your character sheet. While driving this vehicle, gain +2 to Driving checks. On a critical roll, you may perform a cinematic driving maneuver with your vehicle (GM discretion), and adjust your Chase Die by and additional -1 to +1</v>
      </c>
      <c r="E57" s="4" t="s">
        <v>2790</v>
      </c>
      <c r="F57" s="17">
        <v>3</v>
      </c>
      <c r="G57" s="4">
        <v>2</v>
      </c>
      <c r="H57" s="4" t="s">
        <v>2585</v>
      </c>
      <c r="I57" s="4" t="str">
        <f t="shared" si="8"/>
        <v>&lt;i&gt;Drive fast, live smarter.&lt;/i&gt;&lt;p class="Card-Feature"&gt;You own a vehicle large enough for your team - describe the vehicle on your character sheet. While driving this vehicle, gain +2 to Driving checks. On a critical roll, you may perform a cinematic driving maneuver with your vehicle (GM discretion), and adjust your Chase Die by and additional -1 to +1</v>
      </c>
      <c r="J57" s="4" t="s">
        <v>2711</v>
      </c>
      <c r="K57" s="4" t="s">
        <v>3003</v>
      </c>
      <c r="L57" s="4" t="str">
        <f t="shared" si="9"/>
        <v>Getaway Vehicle</v>
      </c>
      <c r="M57" s="4" t="s">
        <v>59</v>
      </c>
      <c r="N57" s="4" t="s">
        <v>38</v>
      </c>
      <c r="O57" s="4"/>
      <c r="P57" t="str">
        <f t="shared" si="10"/>
        <v>getaway-vehicle</v>
      </c>
      <c r="Q57" t="str">
        <f t="shared" si="11"/>
        <v>modules/cybermancy/assets/icons/domains/maker/getaway-vehicle.webp</v>
      </c>
      <c r="R57" s="4" t="s">
        <v>2710</v>
      </c>
      <c r="S57" s="4" t="s">
        <v>2709</v>
      </c>
    </row>
    <row r="58" spans="1:19" ht="57.5" customHeight="1" x14ac:dyDescent="0.35">
      <c r="A58" s="4" t="s">
        <v>2716</v>
      </c>
      <c r="B58" s="4" t="s">
        <v>2584</v>
      </c>
      <c r="C58" t="str">
        <f t="shared" si="6"/>
        <v>modules/cybermancy/assets/icons/domains/maker/air-support.webp</v>
      </c>
      <c r="D58" t="str">
        <f t="shared" si="7"/>
        <v>&lt;i&gt;The sky belongs to you.&lt;/i&gt;&lt;p class="Card-Feature"&gt;One per long rest, you launch and control drones that provide tactical overwatch. Spotlight an Action to shift the drones between Offensive mode and Defensive mode: &lt;p&gt;&lt;b&gt;Defensive mode&lt;/b&gt;: You have +2 Evasion and all allies have +1 Evasion&lt;/p&gt;&lt;b&gt;Offensive mode&lt;/b&gt;: You have +2 to your attacks and all allies have +1 to their attacks</v>
      </c>
      <c r="E58" s="4" t="s">
        <v>2790</v>
      </c>
      <c r="F58" s="17">
        <v>3</v>
      </c>
      <c r="G58" s="4">
        <v>1</v>
      </c>
      <c r="H58" s="4" t="s">
        <v>2585</v>
      </c>
      <c r="I58" s="4" t="str">
        <f t="shared" si="8"/>
        <v>&lt;i&gt;The sky belongs to you.&lt;/i&gt;&lt;p class="Card-Feature"&gt;One per long rest, you launch and control drones that provide tactical overwatch. Spotlight an Action to shift the drones between Offensive mode and Defensive mode: &lt;p&gt;&lt;b&gt;Defensive mode&lt;/b&gt;: You have +2 Evasion and all allies have +1 Evasion&lt;/p&gt;&lt;b&gt;Offensive mode&lt;/b&gt;: You have +2 to your attacks and all allies have +1 to their attacks</v>
      </c>
      <c r="J58" s="4" t="s">
        <v>2719</v>
      </c>
      <c r="K58" s="4" t="s">
        <v>3004</v>
      </c>
      <c r="L58" s="4" t="str">
        <f t="shared" si="9"/>
        <v>Air Support</v>
      </c>
      <c r="M58" s="4" t="s">
        <v>59</v>
      </c>
      <c r="N58" s="4" t="s">
        <v>38</v>
      </c>
      <c r="O58" s="4"/>
      <c r="P58" t="str">
        <f t="shared" si="10"/>
        <v>air-support</v>
      </c>
      <c r="Q58" t="str">
        <f t="shared" si="11"/>
        <v>modules/cybermancy/assets/icons/domains/maker/air-support.webp</v>
      </c>
      <c r="R58" s="4" t="s">
        <v>2718</v>
      </c>
      <c r="S58" s="4" t="s">
        <v>2717</v>
      </c>
    </row>
    <row r="59" spans="1:19" ht="57.5" customHeight="1" x14ac:dyDescent="0.35">
      <c r="A59" s="4" t="s">
        <v>2728</v>
      </c>
      <c r="B59" s="4" t="s">
        <v>2584</v>
      </c>
      <c r="C59" t="str">
        <f t="shared" si="6"/>
        <v>modules/cybermancy/assets/icons/domains/maker/plant-tracker.webp</v>
      </c>
      <c r="D59" t="str">
        <f t="shared" si="7"/>
        <v>&lt;i&gt;They can run, but they can’t hide.&lt;/i&gt;&lt;p class="Card-Feature"&gt;&lt;strong&gt;Mark 2 Stress&lt;/strong&gt; to plant a tracker on a creature or device within Very Close. Roll Finesse vs target’s difficulty to avoid detection.</v>
      </c>
      <c r="E59" s="4" t="s">
        <v>2790</v>
      </c>
      <c r="F59" s="17">
        <v>3</v>
      </c>
      <c r="G59" s="4">
        <v>1</v>
      </c>
      <c r="H59" s="4" t="s">
        <v>2585</v>
      </c>
      <c r="I59" s="4" t="str">
        <f t="shared" si="8"/>
        <v>&lt;i&gt;They can run, but they can’t hide.&lt;/i&gt;&lt;p class="Card-Feature"&gt;&lt;strong&gt;Mark 2 Stress&lt;/strong&gt; to plant a tracker on a creature or device within Very Close. Roll Finesse vs target’s difficulty to avoid detection.</v>
      </c>
      <c r="J59" s="4" t="s">
        <v>2731</v>
      </c>
      <c r="K59" s="4" t="s">
        <v>3005</v>
      </c>
      <c r="L59" s="4" t="str">
        <f t="shared" si="9"/>
        <v>Plant Tracker</v>
      </c>
      <c r="M59" s="4" t="s">
        <v>59</v>
      </c>
      <c r="N59" s="4" t="s">
        <v>38</v>
      </c>
      <c r="O59" s="4" t="s">
        <v>3021</v>
      </c>
      <c r="P59" t="str">
        <f t="shared" si="10"/>
        <v>plant-tracker</v>
      </c>
      <c r="Q59" t="str">
        <f t="shared" si="11"/>
        <v>modules/cybermancy/assets/icons/domains/maker/plant-tracker.webp</v>
      </c>
      <c r="R59" s="4" t="s">
        <v>2730</v>
      </c>
      <c r="S59" s="4" t="s">
        <v>2729</v>
      </c>
    </row>
    <row r="60" spans="1:19" ht="57.5" customHeight="1" x14ac:dyDescent="0.35">
      <c r="A60" s="4" t="s">
        <v>2746</v>
      </c>
      <c r="B60" s="4" t="s">
        <v>2584</v>
      </c>
      <c r="C60" t="str">
        <f t="shared" si="6"/>
        <v>modules/cybermancy/assets/icons/domains/maker/project-manager.webp</v>
      </c>
      <c r="D60" t="str">
        <f t="shared" si="7"/>
        <v>&lt;i&gt;Leadership through logistics.&lt;/i&gt;&lt;p class="Card-Feature"&gt;Once per rest, &lt;strong&gt;Spend 1 Hope&lt;/strong&gt; before a Group Action to grant +2 to the roll.</v>
      </c>
      <c r="E60" s="4" t="s">
        <v>2790</v>
      </c>
      <c r="F60" s="17">
        <v>3</v>
      </c>
      <c r="G60" s="4">
        <v>0</v>
      </c>
      <c r="H60" s="4" t="s">
        <v>2585</v>
      </c>
      <c r="I60" s="4" t="str">
        <f t="shared" si="8"/>
        <v>&lt;i&gt;Leadership through logistics.&lt;/i&gt;&lt;p class="Card-Feature"&gt;Once per rest, &lt;strong&gt;Spend 1 Hope&lt;/strong&gt; before a Group Action to grant +2 to the roll.</v>
      </c>
      <c r="J60" s="4" t="s">
        <v>2749</v>
      </c>
      <c r="K60" s="4" t="s">
        <v>3006</v>
      </c>
      <c r="L60" s="4" t="str">
        <f t="shared" si="9"/>
        <v>Project Manager</v>
      </c>
      <c r="M60" s="4" t="s">
        <v>59</v>
      </c>
      <c r="N60" s="4" t="s">
        <v>38</v>
      </c>
      <c r="O60" s="4" t="s">
        <v>3023</v>
      </c>
      <c r="P60" t="str">
        <f t="shared" si="10"/>
        <v>project-manager</v>
      </c>
      <c r="Q60" t="str">
        <f t="shared" si="11"/>
        <v>modules/cybermancy/assets/icons/domains/maker/project-manager.webp</v>
      </c>
      <c r="R60" s="4" t="s">
        <v>2748</v>
      </c>
      <c r="S60" s="4" t="s">
        <v>2747</v>
      </c>
    </row>
    <row r="61" spans="1:19" ht="57.5" customHeight="1" x14ac:dyDescent="0.35">
      <c r="A61" s="4" t="s">
        <v>2787</v>
      </c>
      <c r="B61" s="4" t="s">
        <v>2584</v>
      </c>
      <c r="C61" t="str">
        <f t="shared" si="6"/>
        <v>modules/cybermancy/assets/icons/domains/maker/expert-driver.webp</v>
      </c>
      <c r="D61" t="str">
        <f t="shared" si="7"/>
        <v>&lt;i&gt;Speed racer's got nothing on you!&lt;/i&gt;&lt;p class="Card-Feature"&gt;All Driving checks are +2.  Each time you are Spotlighted while Driving, you may also take an Attack Action.</v>
      </c>
      <c r="E61" s="4" t="s">
        <v>2790</v>
      </c>
      <c r="F61" s="13">
        <v>3</v>
      </c>
      <c r="G61" s="4">
        <v>1</v>
      </c>
      <c r="H61" s="4" t="s">
        <v>2585</v>
      </c>
      <c r="I61" s="4" t="str">
        <f t="shared" si="8"/>
        <v>&lt;i&gt;Speed racer's got nothing on you!&lt;/i&gt;&lt;p class="Card-Feature"&gt;All Driving checks are +2.  Each time you are Spotlighted while Driving, you may also take an Attack Action.</v>
      </c>
      <c r="J61" t="s">
        <v>2785</v>
      </c>
      <c r="K61" t="s">
        <v>3010</v>
      </c>
      <c r="L61" s="4" t="str">
        <f t="shared" si="9"/>
        <v>Expert Driver</v>
      </c>
      <c r="M61" s="4" t="s">
        <v>59</v>
      </c>
      <c r="N61" s="4" t="s">
        <v>38</v>
      </c>
      <c r="O61" s="4"/>
      <c r="P61" t="str">
        <f t="shared" si="10"/>
        <v>expert-driver</v>
      </c>
      <c r="Q61" t="str">
        <f t="shared" si="11"/>
        <v>modules/cybermancy/assets/icons/domains/maker/expert-driver.webp</v>
      </c>
      <c r="S61" t="s">
        <v>2784</v>
      </c>
    </row>
    <row r="62" spans="1:19" ht="57.5" customHeight="1" x14ac:dyDescent="0.35">
      <c r="A62" s="4" t="s">
        <v>2680</v>
      </c>
      <c r="B62" s="4" t="s">
        <v>2584</v>
      </c>
      <c r="C62" t="str">
        <f t="shared" si="6"/>
        <v>modules/cybermancy/assets/icons/domains/maker/stealth-drone.webp</v>
      </c>
      <c r="D62" t="str">
        <f t="shared" si="7"/>
        <v xml:space="preserve">&lt;i&gt;Your eyes are everywhere.&lt;/i&gt;&lt;p class="Card-Feature"&gt;Once per Scene, &lt;strong&gt;Spend 1 Hope&lt;/strong&gt; to launch a tiny &lt;b&gt;Stealth Drone&lt;/b&gt; within Very Far.  The drone provide audio within Very Close and visual signal.  When you take an Action, you can reposition the drone anywhere within Very Far.  creatures within Very Close can take an action to make an &lt;b&gt;Instinct&lt;/b&gt; roll (Difficulty 15) to detect the drone, and if detected destroy the drone.   </v>
      </c>
      <c r="E62" s="4" t="s">
        <v>2790</v>
      </c>
      <c r="F62" s="17">
        <v>4</v>
      </c>
      <c r="G62" s="4">
        <v>1</v>
      </c>
      <c r="H62" s="4" t="s">
        <v>2585</v>
      </c>
      <c r="I62" s="4" t="str">
        <f t="shared" si="8"/>
        <v xml:space="preserve">&lt;i&gt;Your eyes are everywhere.&lt;/i&gt;&lt;p class="Card-Feature"&gt;Once per Scene, &lt;strong&gt;Spend 1 Hope&lt;/strong&gt; to launch a tiny &lt;b&gt;Stealth Drone&lt;/b&gt; within Very Far.  The drone provide audio within Very Close and visual signal.  When you take an Action, you can reposition the drone anywhere within Very Far.  creatures within Very Close can take an action to make an &lt;b&gt;Instinct&lt;/b&gt; roll (Difficulty 15) to detect the drone, and if detected destroy the drone.   </v>
      </c>
      <c r="J62" s="4" t="s">
        <v>2683</v>
      </c>
      <c r="K62" s="4" t="s">
        <v>2996</v>
      </c>
      <c r="L62" s="4" t="str">
        <f t="shared" si="9"/>
        <v>Stealth Drone</v>
      </c>
      <c r="M62" s="4" t="s">
        <v>59</v>
      </c>
      <c r="N62" s="4" t="s">
        <v>38</v>
      </c>
      <c r="O62" s="4" t="s">
        <v>3023</v>
      </c>
      <c r="P62" t="str">
        <f t="shared" si="10"/>
        <v>stealth-drone</v>
      </c>
      <c r="Q62" t="str">
        <f t="shared" si="11"/>
        <v>modules/cybermancy/assets/icons/domains/maker/stealth-drone.webp</v>
      </c>
      <c r="R62" s="4" t="s">
        <v>2682</v>
      </c>
      <c r="S62" s="4" t="s">
        <v>2681</v>
      </c>
    </row>
    <row r="63" spans="1:19" ht="57.5" customHeight="1" x14ac:dyDescent="0.35">
      <c r="A63" s="4" t="s">
        <v>2688</v>
      </c>
      <c r="B63" s="4" t="s">
        <v>2584</v>
      </c>
      <c r="C63" t="str">
        <f t="shared" si="6"/>
        <v>modules/cybermancy/assets/icons/domains/maker/quick-change.webp</v>
      </c>
      <c r="D63" t="str">
        <f t="shared" si="7"/>
        <v>&lt;i&gt;The right tool for the wrong moment.&lt;/i&gt;&lt;p class="Card-Feature"&gt;Once per Scene, &lt;strong&gt;Mark 1 Stress&lt;/strong&gt; to replace one module on your &lt;b&gt;Primary Drone&lt;/b&gt; instantly.</v>
      </c>
      <c r="E63" s="4" t="s">
        <v>2790</v>
      </c>
      <c r="F63" s="17">
        <v>4</v>
      </c>
      <c r="G63" s="4">
        <v>2</v>
      </c>
      <c r="H63" s="4" t="s">
        <v>2585</v>
      </c>
      <c r="I63" s="4" t="str">
        <f t="shared" si="8"/>
        <v>&lt;i&gt;The right tool for the wrong moment.&lt;/i&gt;&lt;p class="Card-Feature"&gt;Once per Scene, &lt;strong&gt;Mark 1 Stress&lt;/strong&gt; to replace one module on your &lt;b&gt;Primary Drone&lt;/b&gt; instantly.</v>
      </c>
      <c r="J63" s="4" t="s">
        <v>2691</v>
      </c>
      <c r="K63" s="4" t="s">
        <v>3007</v>
      </c>
      <c r="L63" s="4" t="str">
        <f t="shared" si="9"/>
        <v>Quick Change</v>
      </c>
      <c r="M63" s="4" t="s">
        <v>59</v>
      </c>
      <c r="N63" s="4" t="s">
        <v>38</v>
      </c>
      <c r="O63" s="4" t="s">
        <v>3020</v>
      </c>
      <c r="P63" t="str">
        <f t="shared" si="10"/>
        <v>quick-change</v>
      </c>
      <c r="Q63" t="str">
        <f t="shared" si="11"/>
        <v>modules/cybermancy/assets/icons/domains/maker/quick-change.webp</v>
      </c>
      <c r="R63" s="4" t="s">
        <v>2690</v>
      </c>
      <c r="S63" s="4" t="s">
        <v>2689</v>
      </c>
    </row>
    <row r="64" spans="1:19" ht="57.5" customHeight="1" x14ac:dyDescent="0.35">
      <c r="A64" s="4" t="s">
        <v>2720</v>
      </c>
      <c r="B64" s="4" t="s">
        <v>2584</v>
      </c>
      <c r="C64" t="str">
        <f t="shared" si="6"/>
        <v>modules/cybermancy/assets/icons/domains/maker/improvise-equipment.webp</v>
      </c>
      <c r="D64" t="str">
        <f t="shared" si="7"/>
        <v>&lt;i&gt;If you can imagine it, you can build it.&lt;/i&gt;&lt;p class="Card-Feature"&gt;Once per rest, &lt;strong&gt;Mark 2 Stress&lt;/strong&gt; to create a device you need. Describe construction and function (GM discretion).</v>
      </c>
      <c r="E64" s="4" t="s">
        <v>2790</v>
      </c>
      <c r="F64" s="17">
        <v>4</v>
      </c>
      <c r="G64" s="4">
        <v>1</v>
      </c>
      <c r="H64" s="4" t="s">
        <v>2585</v>
      </c>
      <c r="I64" s="4" t="str">
        <f t="shared" si="8"/>
        <v>&lt;i&gt;If you can imagine it, you can build it.&lt;/i&gt;&lt;p class="Card-Feature"&gt;Once per rest, &lt;strong&gt;Mark 2 Stress&lt;/strong&gt; to create a device you need. Describe construction and function (GM discretion).</v>
      </c>
      <c r="J64" s="4" t="s">
        <v>2723</v>
      </c>
      <c r="K64" s="4" t="s">
        <v>3008</v>
      </c>
      <c r="L64" s="4" t="str">
        <f t="shared" si="9"/>
        <v>Improvise Equipment</v>
      </c>
      <c r="M64" s="4" t="s">
        <v>59</v>
      </c>
      <c r="N64" s="4" t="s">
        <v>38</v>
      </c>
      <c r="O64" s="4" t="s">
        <v>3021</v>
      </c>
      <c r="P64" t="str">
        <f t="shared" si="10"/>
        <v>improvise-equipment</v>
      </c>
      <c r="Q64" t="str">
        <f t="shared" si="11"/>
        <v>modules/cybermancy/assets/icons/domains/maker/improvise-equipment.webp</v>
      </c>
      <c r="R64" s="4" t="s">
        <v>2722</v>
      </c>
      <c r="S64" s="4" t="s">
        <v>2721</v>
      </c>
    </row>
    <row r="65" spans="1:19" ht="57.5" customHeight="1" x14ac:dyDescent="0.35">
      <c r="A65" s="4" t="s">
        <v>2732</v>
      </c>
      <c r="B65" s="4" t="s">
        <v>2584</v>
      </c>
      <c r="C65" t="str">
        <f t="shared" si="6"/>
        <v>modules/cybermancy/assets/icons/domains/maker/assess-equipment.webp</v>
      </c>
      <c r="D65" t="str">
        <f t="shared" si="7"/>
        <v>&lt;i&gt;Every circuit tells a secret.&lt;/i&gt;&lt;p class="Card-Feature"&gt;&lt;strong&gt;Spend 1 Hope&lt;/strong&gt; after 10 minutes of inspection to ask the GM 3 yes/no questions about the device.</v>
      </c>
      <c r="E65" s="4" t="s">
        <v>2790</v>
      </c>
      <c r="F65" s="17">
        <v>4</v>
      </c>
      <c r="G65" s="4">
        <v>1</v>
      </c>
      <c r="H65" s="4" t="s">
        <v>2585</v>
      </c>
      <c r="I65" s="4" t="str">
        <f t="shared" si="8"/>
        <v>&lt;i&gt;Every circuit tells a secret.&lt;/i&gt;&lt;p class="Card-Feature"&gt;&lt;strong&gt;Spend 1 Hope&lt;/strong&gt; after 10 minutes of inspection to ask the GM 3 yes/no questions about the device.</v>
      </c>
      <c r="J65" s="4" t="s">
        <v>2735</v>
      </c>
      <c r="K65" s="4" t="s">
        <v>3009</v>
      </c>
      <c r="L65" s="4" t="str">
        <f t="shared" si="9"/>
        <v>Assess Equipment</v>
      </c>
      <c r="M65" s="4" t="s">
        <v>59</v>
      </c>
      <c r="N65" s="4" t="s">
        <v>38</v>
      </c>
      <c r="O65" s="4" t="s">
        <v>3023</v>
      </c>
      <c r="P65" t="str">
        <f t="shared" si="10"/>
        <v>assess-equipment</v>
      </c>
      <c r="Q65" t="str">
        <f t="shared" si="11"/>
        <v>modules/cybermancy/assets/icons/domains/maker/assess-equipment.webp</v>
      </c>
      <c r="R65" s="4" t="s">
        <v>2734</v>
      </c>
      <c r="S65" s="4" t="s">
        <v>2733</v>
      </c>
    </row>
    <row r="66" spans="1:19" ht="57.5" customHeight="1" x14ac:dyDescent="0.35">
      <c r="A66" s="4" t="s">
        <v>2762</v>
      </c>
      <c r="B66" s="4" t="s">
        <v>2584</v>
      </c>
      <c r="C66" t="str">
        <f t="shared" ref="C66:C74" si="12">Q66</f>
        <v>modules/cybermancy/assets/icons/domains/maker/power-boost.webp</v>
      </c>
      <c r="D66" t="str">
        <f t="shared" ref="D66:D74" si="13">I66</f>
        <v>&lt;i&gt;Overclocked aggression.&lt;/i&gt;&lt;p class="Card-Feature"&gt;As an Action, &lt;strong&gt;Spend 1 Hope&lt;/strong&gt; for your &lt;b&gt;Primary Drone&lt;/b&gt; to attack with advantage; add dH extra damage on success depending on your Tier (1:d4, 2:d6, 3:d8, 4:d10)</v>
      </c>
      <c r="E66" s="4" t="s">
        <v>2790</v>
      </c>
      <c r="F66" s="17">
        <v>4</v>
      </c>
      <c r="G66" s="4">
        <v>1</v>
      </c>
      <c r="H66" s="4" t="s">
        <v>2585</v>
      </c>
      <c r="I66" s="4" t="str">
        <f t="shared" ref="I66:I74" si="14">"&lt;i&gt;" &amp; J66 &amp; "&lt;/i&gt;" &amp; K66</f>
        <v>&lt;i&gt;Overclocked aggression.&lt;/i&gt;&lt;p class="Card-Feature"&gt;As an Action, &lt;strong&gt;Spend 1 Hope&lt;/strong&gt; for your &lt;b&gt;Primary Drone&lt;/b&gt; to attack with advantage; add dH extra damage on success depending on your Tier (1:d4, 2:d6, 3:d8, 4:d10)</v>
      </c>
      <c r="J66" s="4" t="s">
        <v>2765</v>
      </c>
      <c r="K66" s="4" t="s">
        <v>3035</v>
      </c>
      <c r="L66" s="4" t="str">
        <f t="shared" ref="L66:L74" si="15">A66</f>
        <v>Power Boost</v>
      </c>
      <c r="M66" s="4" t="s">
        <v>20</v>
      </c>
      <c r="N66" s="4" t="s">
        <v>37</v>
      </c>
      <c r="O66" s="4" t="s">
        <v>3023</v>
      </c>
      <c r="P66" t="str">
        <f t="shared" ref="P66:P74" si="16">SUBSTITUTE(LOWER(A66), " ", "-")</f>
        <v>power-boost</v>
      </c>
      <c r="Q66" t="str">
        <f t="shared" ref="Q66:Q74" si="17">"modules/cybermancy/assets/icons/domains/" &amp; E66 &amp; "/" &amp; P66 &amp; ".webp"</f>
        <v>modules/cybermancy/assets/icons/domains/maker/power-boost.webp</v>
      </c>
      <c r="R66" s="4" t="s">
        <v>2764</v>
      </c>
      <c r="S66" s="4" t="s">
        <v>2763</v>
      </c>
    </row>
    <row r="67" spans="1:19" ht="57.5" customHeight="1" x14ac:dyDescent="0.35">
      <c r="A67" s="4" t="s">
        <v>2666</v>
      </c>
      <c r="B67" s="4" t="s">
        <v>2584</v>
      </c>
      <c r="C67" t="str">
        <f t="shared" si="12"/>
        <v>modules/cybermancy/assets/icons/domains/maker/fixer.webp</v>
      </c>
      <c r="D67" t="str">
        <f t="shared" si="13"/>
        <v>&lt;i&gt;You know who to call.&lt;/i&gt;&lt;p class="Card-Feature"&gt;You have a contact for materials. Non-weapon items cost less (GM discretion). Once per session, ask your Fixer information on any topic.</v>
      </c>
      <c r="E67" s="4" t="s">
        <v>2790</v>
      </c>
      <c r="F67" s="17">
        <v>5</v>
      </c>
      <c r="G67" s="4">
        <v>0</v>
      </c>
      <c r="H67" s="4" t="s">
        <v>2585</v>
      </c>
      <c r="I67" s="4" t="str">
        <f t="shared" si="14"/>
        <v>&lt;i&gt;You know who to call.&lt;/i&gt;&lt;p class="Card-Feature"&gt;You have a contact for materials. Non-weapon items cost less (GM discretion). Once per session, ask your Fixer information on any topic.</v>
      </c>
      <c r="J67" s="4" t="s">
        <v>2738</v>
      </c>
      <c r="K67" s="4" t="s">
        <v>3011</v>
      </c>
      <c r="L67" s="4" t="str">
        <f t="shared" si="15"/>
        <v>Fixer</v>
      </c>
      <c r="M67" s="4" t="s">
        <v>59</v>
      </c>
      <c r="N67" s="4" t="s">
        <v>38</v>
      </c>
      <c r="O67" s="4"/>
      <c r="P67" t="str">
        <f t="shared" si="16"/>
        <v>fixer</v>
      </c>
      <c r="Q67" t="str">
        <f t="shared" si="17"/>
        <v>modules/cybermancy/assets/icons/domains/maker/fixer.webp</v>
      </c>
      <c r="R67" s="4" t="s">
        <v>2737</v>
      </c>
      <c r="S67" s="4" t="s">
        <v>2736</v>
      </c>
    </row>
    <row r="68" spans="1:19" ht="57.5" customHeight="1" x14ac:dyDescent="0.35">
      <c r="A68" s="4" t="s">
        <v>2766</v>
      </c>
      <c r="B68" s="4" t="s">
        <v>2584</v>
      </c>
      <c r="C68" t="str">
        <f t="shared" si="12"/>
        <v>modules/cybermancy/assets/icons/domains/maker/flying-drone.webp</v>
      </c>
      <c r="D68" t="str">
        <f t="shared" si="13"/>
        <v>&lt;i&gt;The sky hums with your genius.&lt;/i&gt;&lt;p class="Card-Feature"&gt;Your &lt;b&gt;Primary Drone&lt;/b&gt; gains flight, +4 Evasion, and may carry 3 weapons.</v>
      </c>
      <c r="E68" s="4" t="s">
        <v>2790</v>
      </c>
      <c r="F68" s="17">
        <v>5</v>
      </c>
      <c r="G68" s="4">
        <v>2</v>
      </c>
      <c r="H68" s="4" t="s">
        <v>2585</v>
      </c>
      <c r="I68" s="4" t="str">
        <f t="shared" si="14"/>
        <v>&lt;i&gt;The sky hums with your genius.&lt;/i&gt;&lt;p class="Card-Feature"&gt;Your &lt;b&gt;Primary Drone&lt;/b&gt; gains flight, +4 Evasion, and may carry 3 weapons.</v>
      </c>
      <c r="J68" s="4" t="s">
        <v>2769</v>
      </c>
      <c r="K68" s="4" t="s">
        <v>3012</v>
      </c>
      <c r="L68" s="4" t="str">
        <f t="shared" si="15"/>
        <v>Flying Drone</v>
      </c>
      <c r="M68" s="4" t="s">
        <v>59</v>
      </c>
      <c r="N68" s="4" t="s">
        <v>38</v>
      </c>
      <c r="O68" s="4"/>
      <c r="P68" t="str">
        <f t="shared" si="16"/>
        <v>flying-drone</v>
      </c>
      <c r="Q68" t="str">
        <f t="shared" si="17"/>
        <v>modules/cybermancy/assets/icons/domains/maker/flying-drone.webp</v>
      </c>
      <c r="R68" s="4" t="s">
        <v>2768</v>
      </c>
      <c r="S68" s="4" t="s">
        <v>2767</v>
      </c>
    </row>
    <row r="69" spans="1:19" ht="57.5" customHeight="1" x14ac:dyDescent="0.35">
      <c r="A69" s="4" t="s">
        <v>2739</v>
      </c>
      <c r="B69" s="4" t="s">
        <v>2584</v>
      </c>
      <c r="C69" t="str">
        <f t="shared" si="12"/>
        <v>modules/cybermancy/assets/icons/domains/maker/multitalented.webp</v>
      </c>
      <c r="D69" t="str">
        <f t="shared" si="13"/>
        <v>&lt;i&gt;Expertise knows no boundaries.&lt;/i&gt;&lt;p class="Card-Feature"&gt;You may add one Domain card from Circuit, Codex, or Bullet to your loadout of Level 4 or less.</v>
      </c>
      <c r="E69" s="4" t="s">
        <v>2790</v>
      </c>
      <c r="F69" s="17">
        <v>6</v>
      </c>
      <c r="G69" s="4">
        <v>1</v>
      </c>
      <c r="H69" s="4" t="s">
        <v>2585</v>
      </c>
      <c r="I69" s="4" t="str">
        <f t="shared" si="14"/>
        <v>&lt;i&gt;Expertise knows no boundaries.&lt;/i&gt;&lt;p class="Card-Feature"&gt;You may add one Domain card from Circuit, Codex, or Bullet to your loadout of Level 4 or less.</v>
      </c>
      <c r="J69" s="4" t="s">
        <v>2742</v>
      </c>
      <c r="K69" s="4" t="s">
        <v>3013</v>
      </c>
      <c r="L69" s="4" t="str">
        <f t="shared" si="15"/>
        <v>Multitalented</v>
      </c>
      <c r="M69" s="4" t="s">
        <v>59</v>
      </c>
      <c r="N69" s="4" t="s">
        <v>38</v>
      </c>
      <c r="O69" s="4"/>
      <c r="P69" t="str">
        <f t="shared" si="16"/>
        <v>multitalented</v>
      </c>
      <c r="Q69" t="str">
        <f t="shared" si="17"/>
        <v>modules/cybermancy/assets/icons/domains/maker/multitalented.webp</v>
      </c>
      <c r="R69" s="4" t="s">
        <v>2741</v>
      </c>
      <c r="S69" s="4" t="s">
        <v>2740</v>
      </c>
    </row>
    <row r="70" spans="1:19" ht="57.5" customHeight="1" x14ac:dyDescent="0.35">
      <c r="A70" s="4" t="s">
        <v>2750</v>
      </c>
      <c r="B70" s="4" t="s">
        <v>2584</v>
      </c>
      <c r="C70" t="str">
        <f t="shared" si="12"/>
        <v>modules/cybermancy/assets/icons/domains/maker/good-maintenance.webp</v>
      </c>
      <c r="D70" t="str">
        <f t="shared" si="13"/>
        <v>&lt;i&gt;A well-oiled machine never quits.&lt;/i&gt;&lt;p class="Card-Feature"&gt;Your weapons and &lt;b&gt;Primary Drone&lt;/b&gt; cannot malfunction except through magical effects.</v>
      </c>
      <c r="E70" s="4" t="s">
        <v>2790</v>
      </c>
      <c r="F70" s="17">
        <v>6</v>
      </c>
      <c r="G70" s="4">
        <v>1</v>
      </c>
      <c r="H70" s="4" t="s">
        <v>2585</v>
      </c>
      <c r="I70" s="4" t="str">
        <f t="shared" si="14"/>
        <v>&lt;i&gt;A well-oiled machine never quits.&lt;/i&gt;&lt;p class="Card-Feature"&gt;Your weapons and &lt;b&gt;Primary Drone&lt;/b&gt; cannot malfunction except through magical effects.</v>
      </c>
      <c r="J70" s="4" t="s">
        <v>2753</v>
      </c>
      <c r="K70" s="4" t="s">
        <v>3014</v>
      </c>
      <c r="L70" s="4" t="str">
        <f t="shared" si="15"/>
        <v>Good Maintenance</v>
      </c>
      <c r="M70" s="4" t="s">
        <v>59</v>
      </c>
      <c r="N70" s="4" t="s">
        <v>38</v>
      </c>
      <c r="O70" s="4"/>
      <c r="P70" t="str">
        <f t="shared" si="16"/>
        <v>good-maintenance</v>
      </c>
      <c r="Q70" t="str">
        <f t="shared" si="17"/>
        <v>modules/cybermancy/assets/icons/domains/maker/good-maintenance.webp</v>
      </c>
      <c r="R70" s="4" t="s">
        <v>2752</v>
      </c>
      <c r="S70" s="4" t="s">
        <v>2751</v>
      </c>
    </row>
    <row r="71" spans="1:19" ht="57.5" customHeight="1" x14ac:dyDescent="0.35">
      <c r="A71" s="4" t="s">
        <v>2712</v>
      </c>
      <c r="B71" s="4" t="s">
        <v>2584</v>
      </c>
      <c r="C71" t="str">
        <f t="shared" si="12"/>
        <v>modules/cybermancy/assets/icons/domains/maker/urban-assault-vehicle.webp</v>
      </c>
      <c r="D71" t="str">
        <f t="shared" si="13"/>
        <v xml:space="preserve">&lt;i&gt;War van supremacy.&lt;/i&gt;&lt;p class="Card-Feature"&gt;You own a large, heavily equipped vehicle large enough for your team plus 4 extra creatures - describe the vehicle on your character sheet. While driving this vehicle, gain +4 to Driving checks. On a critical success of a Driving roll, you may perform a cinematic driving maneuver with your vehicle (GM discretion).  </v>
      </c>
      <c r="E71" s="4" t="s">
        <v>2790</v>
      </c>
      <c r="F71" s="17">
        <v>8</v>
      </c>
      <c r="G71" s="4">
        <v>1</v>
      </c>
      <c r="H71" s="4" t="s">
        <v>2585</v>
      </c>
      <c r="I71" s="4" t="str">
        <f t="shared" si="14"/>
        <v xml:space="preserve">&lt;i&gt;War van supremacy.&lt;/i&gt;&lt;p class="Card-Feature"&gt;You own a large, heavily equipped vehicle large enough for your team plus 4 extra creatures - describe the vehicle on your character sheet. While driving this vehicle, gain +4 to Driving checks. On a critical success of a Driving roll, you may perform a cinematic driving maneuver with your vehicle (GM discretion).  </v>
      </c>
      <c r="J71" s="4" t="s">
        <v>2715</v>
      </c>
      <c r="K71" s="19" t="s">
        <v>3015</v>
      </c>
      <c r="L71" s="4" t="str">
        <f t="shared" si="15"/>
        <v>Urban Assault Vehicle</v>
      </c>
      <c r="M71" s="4" t="s">
        <v>59</v>
      </c>
      <c r="N71" s="4" t="s">
        <v>38</v>
      </c>
      <c r="O71" s="4"/>
      <c r="P71" t="str">
        <f t="shared" si="16"/>
        <v>urban-assault-vehicle</v>
      </c>
      <c r="Q71" t="str">
        <f t="shared" si="17"/>
        <v>modules/cybermancy/assets/icons/domains/maker/urban-assault-vehicle.webp</v>
      </c>
      <c r="R71" s="4" t="s">
        <v>2714</v>
      </c>
      <c r="S71" s="4" t="s">
        <v>2713</v>
      </c>
    </row>
    <row r="72" spans="1:19" ht="57.5" customHeight="1" x14ac:dyDescent="0.35">
      <c r="A72" s="4" t="s">
        <v>2724</v>
      </c>
      <c r="B72" s="4" t="s">
        <v>2584</v>
      </c>
      <c r="C72" t="str">
        <f t="shared" si="12"/>
        <v>modules/cybermancy/assets/icons/domains/maker/engineer-solution.webp</v>
      </c>
      <c r="D72" t="str">
        <f t="shared" si="13"/>
        <v>&lt;i&gt;Innovation given form.&lt;/i&gt;&lt;p class="Card-Feature"&gt;With one day of prep, you can construct nearly any practical device needed (GM discretion).</v>
      </c>
      <c r="E72" s="4" t="s">
        <v>2790</v>
      </c>
      <c r="F72" s="17">
        <v>9</v>
      </c>
      <c r="G72" s="4">
        <v>0</v>
      </c>
      <c r="H72" s="4" t="s">
        <v>2585</v>
      </c>
      <c r="I72" s="4" t="str">
        <f t="shared" si="14"/>
        <v>&lt;i&gt;Innovation given form.&lt;/i&gt;&lt;p class="Card-Feature"&gt;With one day of prep, you can construct nearly any practical device needed (GM discretion).</v>
      </c>
      <c r="J72" s="4" t="s">
        <v>2727</v>
      </c>
      <c r="K72" s="4" t="s">
        <v>3016</v>
      </c>
      <c r="L72" s="4" t="str">
        <f t="shared" si="15"/>
        <v>Engineer Solution</v>
      </c>
      <c r="M72" s="4" t="s">
        <v>59</v>
      </c>
      <c r="N72" s="4" t="s">
        <v>38</v>
      </c>
      <c r="O72" s="4"/>
      <c r="P72" t="str">
        <f t="shared" si="16"/>
        <v>engineer-solution</v>
      </c>
      <c r="Q72" t="str">
        <f t="shared" si="17"/>
        <v>modules/cybermancy/assets/icons/domains/maker/engineer-solution.webp</v>
      </c>
      <c r="R72" s="4" t="s">
        <v>2726</v>
      </c>
      <c r="S72" s="4" t="s">
        <v>2725</v>
      </c>
    </row>
    <row r="73" spans="1:19" ht="57.5" customHeight="1" x14ac:dyDescent="0.35">
      <c r="A73" s="4" t="s">
        <v>2774</v>
      </c>
      <c r="B73" s="4" t="s">
        <v>2584</v>
      </c>
      <c r="C73" t="str">
        <f t="shared" si="12"/>
        <v>modules/cybermancy/assets/icons/domains/maker/analyst.webp</v>
      </c>
      <c r="D73" t="str">
        <f t="shared" si="13"/>
        <v>&lt;i&gt;Knowledge is the best weapon.&lt;/i&gt;&lt;p class="Card-Feature"&gt;Once per session, &lt;strong&gt;Spend 2 Hope&lt;/strong&gt; to ask the GM 3 yes/no questions about a material, structure, or device.</v>
      </c>
      <c r="E73" s="4" t="s">
        <v>2790</v>
      </c>
      <c r="F73" s="17">
        <v>9</v>
      </c>
      <c r="G73" s="4">
        <v>1</v>
      </c>
      <c r="H73" s="4" t="s">
        <v>2585</v>
      </c>
      <c r="I73" s="4" t="str">
        <f t="shared" si="14"/>
        <v>&lt;i&gt;Knowledge is the best weapon.&lt;/i&gt;&lt;p class="Card-Feature"&gt;Once per session, &lt;strong&gt;Spend 2 Hope&lt;/strong&gt; to ask the GM 3 yes/no questions about a material, structure, or device.</v>
      </c>
      <c r="J73" s="4" t="s">
        <v>2777</v>
      </c>
      <c r="K73" s="4" t="s">
        <v>3017</v>
      </c>
      <c r="L73" s="4" t="str">
        <f t="shared" si="15"/>
        <v>Analyst</v>
      </c>
      <c r="M73" s="4" t="s">
        <v>20</v>
      </c>
      <c r="N73" s="4" t="s">
        <v>37</v>
      </c>
      <c r="O73" s="4" t="s">
        <v>3024</v>
      </c>
      <c r="P73" t="str">
        <f t="shared" si="16"/>
        <v>analyst</v>
      </c>
      <c r="Q73" t="str">
        <f t="shared" si="17"/>
        <v>modules/cybermancy/assets/icons/domains/maker/analyst.webp</v>
      </c>
      <c r="R73" s="4" t="s">
        <v>2776</v>
      </c>
      <c r="S73" s="4" t="s">
        <v>2775</v>
      </c>
    </row>
    <row r="74" spans="1:19" ht="57.5" customHeight="1" x14ac:dyDescent="0.35">
      <c r="A74" s="4" t="s">
        <v>2770</v>
      </c>
      <c r="B74" s="4" t="s">
        <v>2584</v>
      </c>
      <c r="C74" t="str">
        <f t="shared" si="12"/>
        <v>modules/cybermancy/assets/icons/domains/maker/chinook.webp</v>
      </c>
      <c r="D74" t="str">
        <f t="shared" si="13"/>
        <v>&lt;i&gt;Airlift on demand.&lt;/i&gt;&lt;p class="Card-Feature"&gt;While active, your &lt;b&gt;Primary Drone&lt;/b&gt; can carry you and one ally. While equipped, it may only carry one weapon and has -2 Evasion.</v>
      </c>
      <c r="E74" s="4" t="s">
        <v>2790</v>
      </c>
      <c r="F74" s="17">
        <v>10</v>
      </c>
      <c r="G74" s="4">
        <v>2</v>
      </c>
      <c r="H74" s="4" t="s">
        <v>2585</v>
      </c>
      <c r="I74" s="4" t="str">
        <f t="shared" si="14"/>
        <v>&lt;i&gt;Airlift on demand.&lt;/i&gt;&lt;p class="Card-Feature"&gt;While active, your &lt;b&gt;Primary Drone&lt;/b&gt; can carry you and one ally. While equipped, it may only carry one weapon and has -2 Evasion.</v>
      </c>
      <c r="J74" s="4" t="s">
        <v>2773</v>
      </c>
      <c r="K74" s="4" t="s">
        <v>3018</v>
      </c>
      <c r="L74" s="4" t="str">
        <f t="shared" si="15"/>
        <v>Chinook</v>
      </c>
      <c r="M74" s="4" t="s">
        <v>59</v>
      </c>
      <c r="N74" s="4" t="s">
        <v>38</v>
      </c>
      <c r="O74" s="4"/>
      <c r="P74" t="str">
        <f t="shared" si="16"/>
        <v>chinook</v>
      </c>
      <c r="Q74" t="str">
        <f t="shared" si="17"/>
        <v>modules/cybermancy/assets/icons/domains/maker/chinook.webp</v>
      </c>
      <c r="R74" s="4" t="s">
        <v>2772</v>
      </c>
      <c r="S74" s="4" t="s">
        <v>2771</v>
      </c>
    </row>
    <row r="76" spans="1:19" ht="20" customHeight="1" x14ac:dyDescent="0.35">
      <c r="A76" s="16" t="s">
        <v>2560</v>
      </c>
      <c r="B76" s="4" t="s">
        <v>2584</v>
      </c>
      <c r="C76">
        <f t="shared" ref="C76:C89" si="18">P76</f>
        <v>0</v>
      </c>
      <c r="D76" t="str">
        <f t="shared" ref="D76:D89" si="19">I76</f>
        <v>&lt;i&gt;Ability&lt;/i&gt;&lt;p&gt;Spend 1 Hope to flood an creature’s systems or mindware with data. Target rolls a Fear test or becomes Dazed for one round.</v>
      </c>
      <c r="E76" t="s">
        <v>2559</v>
      </c>
      <c r="F76" s="17">
        <v>4</v>
      </c>
      <c r="G76" s="4"/>
      <c r="H76" s="4" t="s">
        <v>2585</v>
      </c>
      <c r="I76" t="str">
        <f>"&lt;i&gt;" &amp; J76 &amp; "&lt;/i&gt;&lt;p&gt;" &amp; K76</f>
        <v>&lt;i&gt;Ability&lt;/i&gt;&lt;p&gt;Spend 1 Hope to flood an creature’s systems or mindware with data. Target rolls a Fear test or becomes Dazed for one round.</v>
      </c>
      <c r="J76" s="4" t="s">
        <v>2521</v>
      </c>
      <c r="K76" s="4" t="s">
        <v>2781</v>
      </c>
      <c r="L76" s="4" t="str">
        <f>A76</f>
        <v>7. Data Surge</v>
      </c>
      <c r="M76" s="4" t="s">
        <v>20</v>
      </c>
      <c r="N76" s="4" t="s">
        <v>37</v>
      </c>
    </row>
    <row r="77" spans="1:19" ht="20" customHeight="1" x14ac:dyDescent="0.35">
      <c r="A77" s="16" t="s">
        <v>2561</v>
      </c>
      <c r="B77" s="4" t="s">
        <v>2584</v>
      </c>
      <c r="C77">
        <f t="shared" si="18"/>
        <v>0</v>
      </c>
      <c r="D77" t="str">
        <f t="shared" si="19"/>
        <v>&lt;i&gt;Reaction&lt;/i&gt;&lt;p&gt;Once per Scene, when you would take electric, energy, or sonic damage, reduce it by half and deal 1d8 to all creatures in Close range.</v>
      </c>
      <c r="E77" t="s">
        <v>2559</v>
      </c>
      <c r="F77" s="17">
        <v>8</v>
      </c>
      <c r="G77" s="4"/>
      <c r="H77" s="4" t="s">
        <v>2585</v>
      </c>
      <c r="I77" t="str">
        <f>"&lt;i&gt;" &amp; J77 &amp; "&lt;/i&gt;&lt;p&gt;" &amp; K77</f>
        <v>&lt;i&gt;Reaction&lt;/i&gt;&lt;p&gt;Once per Scene, when you would take electric, energy, or sonic damage, reduce it by half and deal 1d8 to all creatures in Close range.</v>
      </c>
      <c r="J77" s="4" t="s">
        <v>2535</v>
      </c>
      <c r="K77" s="4" t="s">
        <v>2782</v>
      </c>
      <c r="L77" s="4" t="str">
        <f>A77</f>
        <v>16. Resonant Field</v>
      </c>
      <c r="M77" s="4" t="s">
        <v>20</v>
      </c>
      <c r="N77" s="4" t="s">
        <v>37</v>
      </c>
    </row>
    <row r="78" spans="1:19" ht="20" customHeight="1" x14ac:dyDescent="0.35">
      <c r="A78" s="16" t="s">
        <v>2562</v>
      </c>
      <c r="B78" s="4" t="s">
        <v>2584</v>
      </c>
      <c r="C78">
        <f t="shared" si="18"/>
        <v>0</v>
      </c>
      <c r="D78" t="str">
        <f t="shared" si="19"/>
        <v>&lt;i&gt;Passive&lt;/i&gt;&lt;p&gt;Once per Long Rest, when you would fail a Knowledge or Instinct roll, you can instantly rerun the mental algorithm and reroll it with advantage.</v>
      </c>
      <c r="E78" t="s">
        <v>2559</v>
      </c>
      <c r="F78" s="17">
        <v>9</v>
      </c>
      <c r="G78" s="4"/>
      <c r="H78" s="4" t="s">
        <v>2585</v>
      </c>
      <c r="I78" t="str">
        <f>"&lt;i&gt;" &amp; J78 &amp; "&lt;/i&gt;&lt;p&gt;" &amp; K78</f>
        <v>&lt;i&gt;Passive&lt;/i&gt;&lt;p&gt;Once per Long Rest, when you would fail a Knowledge or Instinct roll, you can instantly rerun the mental algorithm and reroll it with advantage.</v>
      </c>
      <c r="J78" s="4" t="s">
        <v>2547</v>
      </c>
      <c r="K78" s="4" t="s">
        <v>2563</v>
      </c>
      <c r="L78" s="4" t="str">
        <f>A78</f>
        <v>18. Recursive Mind</v>
      </c>
      <c r="M78" s="4" t="s">
        <v>20</v>
      </c>
      <c r="N78" s="4" t="s">
        <v>37</v>
      </c>
    </row>
    <row r="79" spans="1:19" ht="20" customHeight="1" x14ac:dyDescent="0.35">
      <c r="B79" s="4" t="s">
        <v>2584</v>
      </c>
      <c r="C79">
        <f t="shared" si="18"/>
        <v>0</v>
      </c>
      <c r="D79">
        <f t="shared" si="19"/>
        <v>0</v>
      </c>
      <c r="E79" t="s">
        <v>2559</v>
      </c>
      <c r="I79"/>
      <c r="K79" s="4"/>
    </row>
    <row r="80" spans="1:19" ht="20" customHeight="1" x14ac:dyDescent="0.35">
      <c r="A80" s="16" t="s">
        <v>2564</v>
      </c>
      <c r="B80" s="4" t="s">
        <v>2584</v>
      </c>
      <c r="C80">
        <f t="shared" si="18"/>
        <v>0</v>
      </c>
      <c r="D80">
        <f t="shared" si="19"/>
        <v>0</v>
      </c>
      <c r="E80" t="s">
        <v>2559</v>
      </c>
      <c r="G80" s="4"/>
      <c r="H80" s="4" t="s">
        <v>2566</v>
      </c>
      <c r="I80"/>
      <c r="K80" s="4" t="s">
        <v>2565</v>
      </c>
    </row>
    <row r="81" spans="1:18" ht="20" customHeight="1" x14ac:dyDescent="0.35">
      <c r="A81" s="16" t="s">
        <v>2567</v>
      </c>
      <c r="B81" s="4" t="s">
        <v>2584</v>
      </c>
      <c r="C81">
        <f t="shared" si="18"/>
        <v>0</v>
      </c>
      <c r="D81">
        <f t="shared" si="19"/>
        <v>0</v>
      </c>
      <c r="E81" t="s">
        <v>2559</v>
      </c>
      <c r="G81" s="4"/>
      <c r="H81" s="4"/>
      <c r="I81"/>
      <c r="K81" s="4" t="s">
        <v>2568</v>
      </c>
    </row>
    <row r="82" spans="1:18" ht="20" customHeight="1" x14ac:dyDescent="0.35">
      <c r="A82" s="16" t="s">
        <v>2569</v>
      </c>
      <c r="B82" s="4" t="s">
        <v>2584</v>
      </c>
      <c r="C82">
        <f t="shared" si="18"/>
        <v>0</v>
      </c>
      <c r="D82">
        <f t="shared" si="19"/>
        <v>0</v>
      </c>
      <c r="E82" t="s">
        <v>2559</v>
      </c>
      <c r="I82"/>
    </row>
    <row r="83" spans="1:18" ht="20" customHeight="1" x14ac:dyDescent="0.35">
      <c r="A83" s="16" t="s">
        <v>2570</v>
      </c>
      <c r="B83" s="4" t="s">
        <v>2584</v>
      </c>
      <c r="C83">
        <f t="shared" si="18"/>
        <v>0</v>
      </c>
      <c r="D83">
        <f t="shared" si="19"/>
        <v>0</v>
      </c>
      <c r="E83" t="s">
        <v>2559</v>
      </c>
      <c r="G83" s="4"/>
      <c r="H83" s="4" t="s">
        <v>2543</v>
      </c>
      <c r="I83"/>
    </row>
    <row r="84" spans="1:18" ht="20" customHeight="1" x14ac:dyDescent="0.35">
      <c r="A84" s="16" t="s">
        <v>2571</v>
      </c>
      <c r="B84" s="4" t="s">
        <v>2584</v>
      </c>
      <c r="C84">
        <f t="shared" si="18"/>
        <v>0</v>
      </c>
      <c r="D84">
        <f t="shared" si="19"/>
        <v>0</v>
      </c>
      <c r="E84" t="s">
        <v>2559</v>
      </c>
      <c r="G84" s="4"/>
      <c r="H84" s="4" t="s">
        <v>2572</v>
      </c>
      <c r="I84"/>
    </row>
    <row r="85" spans="1:18" ht="20" customHeight="1" x14ac:dyDescent="0.35">
      <c r="A85" s="16" t="s">
        <v>2573</v>
      </c>
      <c r="B85" s="4" t="s">
        <v>2584</v>
      </c>
      <c r="C85">
        <f t="shared" si="18"/>
        <v>0</v>
      </c>
      <c r="D85">
        <f t="shared" si="19"/>
        <v>0</v>
      </c>
      <c r="E85" t="s">
        <v>2559</v>
      </c>
      <c r="G85" s="4"/>
      <c r="H85" s="4" t="s">
        <v>2574</v>
      </c>
      <c r="I85"/>
    </row>
    <row r="86" spans="1:18" ht="20" customHeight="1" x14ac:dyDescent="0.35">
      <c r="A86" s="16" t="s">
        <v>2575</v>
      </c>
      <c r="B86" s="4" t="s">
        <v>2584</v>
      </c>
      <c r="C86">
        <f t="shared" si="18"/>
        <v>0</v>
      </c>
      <c r="D86">
        <f t="shared" si="19"/>
        <v>0</v>
      </c>
      <c r="E86" t="s">
        <v>2559</v>
      </c>
      <c r="G86" s="4"/>
      <c r="H86" s="4"/>
      <c r="I86"/>
    </row>
    <row r="87" spans="1:18" ht="20" customHeight="1" x14ac:dyDescent="0.35">
      <c r="A87" s="16" t="s">
        <v>2576</v>
      </c>
      <c r="B87" s="4" t="s">
        <v>2584</v>
      </c>
      <c r="C87">
        <f t="shared" si="18"/>
        <v>0</v>
      </c>
      <c r="D87">
        <f t="shared" si="19"/>
        <v>0</v>
      </c>
      <c r="E87" t="s">
        <v>2559</v>
      </c>
      <c r="I87"/>
      <c r="K87" s="4"/>
    </row>
    <row r="88" spans="1:18" ht="20" customHeight="1" x14ac:dyDescent="0.35">
      <c r="A88" s="4" t="s">
        <v>2700</v>
      </c>
      <c r="B88" s="4" t="s">
        <v>2584</v>
      </c>
      <c r="C88" t="str">
        <f t="shared" si="18"/>
        <v>modules/cybermancy/assets/icons/domains/drone-harness.png</v>
      </c>
      <c r="D88">
        <f t="shared" si="19"/>
        <v>0</v>
      </c>
      <c r="E88" s="4" t="s">
        <v>2780</v>
      </c>
      <c r="F88" s="17">
        <v>2</v>
      </c>
      <c r="G88" s="4">
        <v>1</v>
      </c>
      <c r="H88" s="4" t="s">
        <v>2585</v>
      </c>
      <c r="I88"/>
      <c r="J88" s="4" t="s">
        <v>2703</v>
      </c>
      <c r="K88" s="18" t="s">
        <v>2778</v>
      </c>
      <c r="L88" s="4" t="s">
        <v>2580</v>
      </c>
      <c r="M88" s="4"/>
      <c r="N88" s="4"/>
      <c r="O88" t="str">
        <f>SUBSTITUTE(LOWER(A88), " ", "-")</f>
        <v>drone-harness</v>
      </c>
      <c r="P88" s="4" t="s">
        <v>2704</v>
      </c>
      <c r="Q88" s="4" t="s">
        <v>2702</v>
      </c>
      <c r="R88" s="4" t="s">
        <v>2701</v>
      </c>
    </row>
    <row r="89" spans="1:18" ht="20" customHeight="1" x14ac:dyDescent="0.35">
      <c r="A89" s="16" t="s">
        <v>2783</v>
      </c>
      <c r="B89" s="4" t="s">
        <v>2584</v>
      </c>
      <c r="C89">
        <f t="shared" si="18"/>
        <v>0</v>
      </c>
      <c r="D89">
        <f t="shared" si="19"/>
        <v>0</v>
      </c>
      <c r="E89" t="s">
        <v>2780</v>
      </c>
      <c r="F89" s="13">
        <v>3</v>
      </c>
      <c r="I89"/>
      <c r="J89" t="s">
        <v>2785</v>
      </c>
      <c r="K89" t="s">
        <v>2786</v>
      </c>
      <c r="R89" t="s">
        <v>2784</v>
      </c>
    </row>
  </sheetData>
  <autoFilter ref="A1:S74" xr:uid="{8134B3E0-0F30-40E4-A4E1-00A26E5811E5}">
    <sortState xmlns:xlrd2="http://schemas.microsoft.com/office/spreadsheetml/2017/richdata2" ref="A2:S74">
      <sortCondition ref="E1:E74"/>
    </sortState>
  </autoFilter>
  <sortState xmlns:xlrd2="http://schemas.microsoft.com/office/spreadsheetml/2017/richdata2" ref="E2:K18">
    <sortCondition ref="F1:F18"/>
  </sortState>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CFBCA-2C2D-462D-87B0-C470CF4E2D4D}">
  <dimension ref="A1:M71"/>
  <sheetViews>
    <sheetView workbookViewId="0">
      <selection activeCell="A2" sqref="A2:XFD51"/>
    </sheetView>
  </sheetViews>
  <sheetFormatPr defaultRowHeight="14.5" x14ac:dyDescent="0.35"/>
  <cols>
    <col min="1" max="1" width="39.81640625" customWidth="1"/>
    <col min="2" max="2" width="19" customWidth="1"/>
    <col min="3" max="3" width="65.81640625" customWidth="1"/>
    <col min="4" max="4" width="45.36328125" customWidth="1"/>
    <col min="5" max="5" width="27" customWidth="1"/>
    <col min="6" max="6" width="113.6328125" style="4" customWidth="1"/>
    <col min="7" max="7" width="39.08984375" customWidth="1"/>
    <col min="8" max="8" width="18.90625" bestFit="1" customWidth="1"/>
    <col min="11" max="11" width="26.453125" bestFit="1" customWidth="1"/>
  </cols>
  <sheetData>
    <row r="1" spans="1:13" s="10" customFormat="1" ht="29" x14ac:dyDescent="0.35">
      <c r="A1" s="2" t="s">
        <v>0</v>
      </c>
      <c r="B1" s="2" t="s">
        <v>1</v>
      </c>
      <c r="C1" s="2" t="s">
        <v>2</v>
      </c>
      <c r="D1" s="2" t="s">
        <v>3</v>
      </c>
      <c r="E1" s="15" t="s">
        <v>2945</v>
      </c>
      <c r="F1" s="3" t="s">
        <v>2949</v>
      </c>
      <c r="G1" s="15" t="s">
        <v>2947</v>
      </c>
      <c r="H1" s="15" t="s">
        <v>2950</v>
      </c>
      <c r="I1" s="15" t="s">
        <v>2951</v>
      </c>
      <c r="J1" s="2" t="s">
        <v>2948</v>
      </c>
      <c r="K1" s="2" t="s">
        <v>2187</v>
      </c>
      <c r="M1" s="2"/>
    </row>
    <row r="2" spans="1:13" ht="58" x14ac:dyDescent="0.35">
      <c r="A2" t="s">
        <v>2795</v>
      </c>
      <c r="B2" t="s">
        <v>1227</v>
      </c>
      <c r="C2" t="str">
        <f t="shared" ref="C2:C11" si="0">"modules/cybermancy/assets/icons/subclasses/" &amp; SUBSTITUTE(L2, "’", "") &amp; ".webp"</f>
        <v>modules/cybermancy/assets/icons/subclasses/netrunner.webp</v>
      </c>
      <c r="D2" t="s">
        <v>2798</v>
      </c>
      <c r="E2" t="s">
        <v>1227</v>
      </c>
      <c r="F2" s="4" t="s">
        <v>2798</v>
      </c>
      <c r="G2" t="str">
        <f>A2</f>
        <v>Netrunner</v>
      </c>
      <c r="H2" t="s">
        <v>20</v>
      </c>
      <c r="I2" t="s">
        <v>38</v>
      </c>
      <c r="K2" t="s">
        <v>2796</v>
      </c>
      <c r="L2" t="s">
        <v>2797</v>
      </c>
    </row>
    <row r="3" spans="1:13" ht="159.5" x14ac:dyDescent="0.35">
      <c r="A3" t="s">
        <v>2799</v>
      </c>
      <c r="B3" t="s">
        <v>1227</v>
      </c>
      <c r="C3" t="str">
        <f t="shared" si="0"/>
        <v>modules/cybermancy/assets/icons/subclasses/rigger.webp</v>
      </c>
      <c r="D3" t="s">
        <v>2802</v>
      </c>
      <c r="E3" t="s">
        <v>1227</v>
      </c>
      <c r="F3" s="4" t="s">
        <v>2802</v>
      </c>
      <c r="G3" t="str">
        <f>A3</f>
        <v>Rigger</v>
      </c>
      <c r="H3" t="s">
        <v>20</v>
      </c>
      <c r="I3" t="s">
        <v>38</v>
      </c>
      <c r="K3" t="s">
        <v>2800</v>
      </c>
      <c r="L3" t="s">
        <v>2801</v>
      </c>
    </row>
    <row r="4" spans="1:13" x14ac:dyDescent="0.35">
      <c r="A4" t="s">
        <v>2803</v>
      </c>
      <c r="B4" t="s">
        <v>1227</v>
      </c>
      <c r="C4" t="str">
        <f t="shared" si="0"/>
        <v>modules/cybermancy/assets/icons/subclasses/reboot.webp</v>
      </c>
      <c r="D4" t="s">
        <v>2805</v>
      </c>
      <c r="E4" t="s">
        <v>1227</v>
      </c>
      <c r="F4" s="4" t="s">
        <v>2805</v>
      </c>
      <c r="G4" t="str">
        <f>A4</f>
        <v>Reboot</v>
      </c>
      <c r="H4" t="s">
        <v>20</v>
      </c>
      <c r="I4" t="s">
        <v>37</v>
      </c>
      <c r="K4" t="s">
        <v>2797</v>
      </c>
      <c r="L4" t="s">
        <v>2804</v>
      </c>
    </row>
    <row r="5" spans="1:13" x14ac:dyDescent="0.35">
      <c r="A5" t="s">
        <v>2806</v>
      </c>
      <c r="B5" t="s">
        <v>1227</v>
      </c>
      <c r="C5" t="str">
        <f t="shared" si="0"/>
        <v>modules/cybermancy/assets/icons/subclasses/hacking-insight.webp</v>
      </c>
      <c r="D5" t="s">
        <v>2808</v>
      </c>
      <c r="E5" t="s">
        <v>1227</v>
      </c>
      <c r="F5" s="4" t="s">
        <v>2808</v>
      </c>
      <c r="G5" t="str">
        <f>A5</f>
        <v>Hacking Insight</v>
      </c>
      <c r="H5" t="s">
        <v>20</v>
      </c>
      <c r="I5" t="s">
        <v>37</v>
      </c>
      <c r="K5" t="s">
        <v>2797</v>
      </c>
      <c r="L5" t="s">
        <v>2807</v>
      </c>
    </row>
    <row r="6" spans="1:13" ht="29" x14ac:dyDescent="0.35">
      <c r="A6" t="s">
        <v>2809</v>
      </c>
      <c r="B6" t="s">
        <v>1227</v>
      </c>
      <c r="C6" t="str">
        <f t="shared" si="0"/>
        <v>modules/cybermancy/assets/icons/subclasses/interference.webp</v>
      </c>
      <c r="D6" t="s">
        <v>2811</v>
      </c>
      <c r="E6" t="s">
        <v>1227</v>
      </c>
      <c r="F6" s="4" t="s">
        <v>2811</v>
      </c>
      <c r="G6" t="str">
        <f>A6</f>
        <v>Interference</v>
      </c>
      <c r="H6" t="s">
        <v>20</v>
      </c>
      <c r="I6" t="s">
        <v>37</v>
      </c>
      <c r="K6" t="s">
        <v>2797</v>
      </c>
      <c r="L6" t="s">
        <v>2810</v>
      </c>
    </row>
    <row r="7" spans="1:13" ht="29" x14ac:dyDescent="0.35">
      <c r="A7" t="s">
        <v>2812</v>
      </c>
      <c r="B7" t="s">
        <v>1227</v>
      </c>
      <c r="C7" t="str">
        <f t="shared" si="0"/>
        <v>modules/cybermancy/assets/icons/subclasses/digital-awareness.webp</v>
      </c>
      <c r="D7" t="s">
        <v>2814</v>
      </c>
      <c r="E7" t="s">
        <v>1227</v>
      </c>
      <c r="F7" s="4" t="s">
        <v>2814</v>
      </c>
      <c r="G7" t="str">
        <f t="shared" ref="G7:G51" si="1">A7</f>
        <v>Digital Awareness</v>
      </c>
      <c r="H7" t="s">
        <v>20</v>
      </c>
      <c r="I7" t="s">
        <v>37</v>
      </c>
      <c r="K7" t="s">
        <v>2796</v>
      </c>
      <c r="L7" t="s">
        <v>2813</v>
      </c>
    </row>
    <row r="8" spans="1:13" x14ac:dyDescent="0.35">
      <c r="A8" t="s">
        <v>2815</v>
      </c>
      <c r="B8" t="s">
        <v>1227</v>
      </c>
      <c r="C8" t="str">
        <f t="shared" si="0"/>
        <v>modules/cybermancy/assets/icons/subclasses/quick-hack.webp</v>
      </c>
      <c r="D8" t="s">
        <v>2817</v>
      </c>
      <c r="E8" t="s">
        <v>1227</v>
      </c>
      <c r="F8" s="4" t="s">
        <v>2817</v>
      </c>
      <c r="G8" t="str">
        <f t="shared" si="1"/>
        <v>Quick hack</v>
      </c>
      <c r="H8" t="s">
        <v>20</v>
      </c>
      <c r="I8" t="s">
        <v>37</v>
      </c>
      <c r="K8" t="s">
        <v>2796</v>
      </c>
      <c r="L8" t="s">
        <v>2816</v>
      </c>
    </row>
    <row r="9" spans="1:13" ht="101.5" x14ac:dyDescent="0.35">
      <c r="A9" t="s">
        <v>2818</v>
      </c>
      <c r="B9" t="s">
        <v>1227</v>
      </c>
      <c r="C9" t="str">
        <f t="shared" si="0"/>
        <v>modules/cybermancy/assets/icons/subclasses/ghost-in-the-machine-.webp</v>
      </c>
      <c r="D9" t="s">
        <v>2821</v>
      </c>
      <c r="E9" t="s">
        <v>1227</v>
      </c>
      <c r="F9" s="4" t="s">
        <v>2821</v>
      </c>
      <c r="G9" t="str">
        <f t="shared" si="1"/>
        <v xml:space="preserve">Ghost in the machine </v>
      </c>
      <c r="H9" t="s">
        <v>20</v>
      </c>
      <c r="I9" t="s">
        <v>37</v>
      </c>
      <c r="K9" t="s">
        <v>2819</v>
      </c>
      <c r="L9" t="s">
        <v>2820</v>
      </c>
    </row>
    <row r="10" spans="1:13" ht="58" x14ac:dyDescent="0.35">
      <c r="A10" t="s">
        <v>2822</v>
      </c>
      <c r="B10" t="s">
        <v>1227</v>
      </c>
      <c r="C10" t="str">
        <f t="shared" si="0"/>
        <v>modules/cybermancy/assets/icons/subclasses/ive-seen-this-model-before.webp</v>
      </c>
      <c r="D10" t="s">
        <v>2824</v>
      </c>
      <c r="E10" t="s">
        <v>1227</v>
      </c>
      <c r="F10" s="4" t="s">
        <v>2824</v>
      </c>
      <c r="G10" t="str">
        <f t="shared" si="1"/>
        <v>I’ve seen this model before</v>
      </c>
      <c r="H10" t="s">
        <v>20</v>
      </c>
      <c r="I10" t="s">
        <v>37</v>
      </c>
      <c r="K10" t="s">
        <v>2819</v>
      </c>
      <c r="L10" t="s">
        <v>2823</v>
      </c>
    </row>
    <row r="11" spans="1:13" x14ac:dyDescent="0.35">
      <c r="A11" t="s">
        <v>2825</v>
      </c>
      <c r="B11" t="s">
        <v>1227</v>
      </c>
      <c r="C11" t="str">
        <f t="shared" si="0"/>
        <v>modules/cybermancy/assets/icons/subclasses/don't-worry,-that-was-just-a-glitch.webp</v>
      </c>
      <c r="D11" t="s">
        <v>2827</v>
      </c>
      <c r="E11" t="s">
        <v>1227</v>
      </c>
      <c r="F11" s="4" t="s">
        <v>2827</v>
      </c>
      <c r="G11" t="str">
        <f t="shared" si="1"/>
        <v>Don't worry, that was just a glitch</v>
      </c>
      <c r="H11" t="s">
        <v>20</v>
      </c>
      <c r="I11" t="s">
        <v>37</v>
      </c>
      <c r="K11" t="s">
        <v>2819</v>
      </c>
      <c r="L11" t="s">
        <v>2826</v>
      </c>
    </row>
    <row r="12" spans="1:13" x14ac:dyDescent="0.35">
      <c r="A12" t="s">
        <v>2828</v>
      </c>
      <c r="B12" t="s">
        <v>1227</v>
      </c>
      <c r="C12" t="str">
        <f>"modules/cybermancy/assets/icons/subclasses/" &amp; SUBSTITUTE(L12, "’", "") &amp; ".webp"</f>
        <v>modules/cybermancy/assets/icons/subclasses/now-you-see-me,-now-you-dont.webp</v>
      </c>
      <c r="D12" t="s">
        <v>2830</v>
      </c>
      <c r="E12" t="s">
        <v>1227</v>
      </c>
      <c r="F12" s="4" t="s">
        <v>2830</v>
      </c>
      <c r="G12" t="str">
        <f t="shared" si="1"/>
        <v>Now you see me, now you don’t</v>
      </c>
      <c r="H12" t="s">
        <v>20</v>
      </c>
      <c r="I12" t="s">
        <v>37</v>
      </c>
      <c r="K12" t="s">
        <v>2819</v>
      </c>
      <c r="L12" t="s">
        <v>2829</v>
      </c>
    </row>
    <row r="13" spans="1:13" ht="43.5" x14ac:dyDescent="0.35">
      <c r="A13" t="s">
        <v>2831</v>
      </c>
      <c r="B13" t="s">
        <v>1227</v>
      </c>
      <c r="C13" t="str">
        <f t="shared" ref="C13:C71" si="2">"modules/cybermancy/assets/icons/subclasses/" &amp; SUBSTITUTE(L13, "’", "") &amp; ".webp"</f>
        <v>modules/cybermancy/assets/icons/subclasses/become-one-with-the-matrix.webp</v>
      </c>
      <c r="D13" t="s">
        <v>2833</v>
      </c>
      <c r="E13" t="s">
        <v>1227</v>
      </c>
      <c r="F13" s="4" t="s">
        <v>2833</v>
      </c>
      <c r="G13" t="str">
        <f t="shared" si="1"/>
        <v>Become one with the Matrix</v>
      </c>
      <c r="H13" t="s">
        <v>20</v>
      </c>
      <c r="I13" t="s">
        <v>37</v>
      </c>
      <c r="K13" t="s">
        <v>2819</v>
      </c>
      <c r="L13" t="s">
        <v>2832</v>
      </c>
    </row>
    <row r="14" spans="1:13" ht="101.5" x14ac:dyDescent="0.35">
      <c r="A14" t="s">
        <v>2834</v>
      </c>
      <c r="B14" t="s">
        <v>1227</v>
      </c>
      <c r="C14" t="str">
        <f t="shared" si="2"/>
        <v>modules/cybermancy/assets/icons/subclasses/wrecking-ball-(aka-the-lord-of-chaos).webp</v>
      </c>
      <c r="D14" t="s">
        <v>2837</v>
      </c>
      <c r="E14" t="s">
        <v>1227</v>
      </c>
      <c r="F14" s="4" t="s">
        <v>2837</v>
      </c>
      <c r="G14" t="str">
        <f t="shared" si="1"/>
        <v>Wrecking ball (aka the Lord of Chaos)</v>
      </c>
      <c r="H14" t="s">
        <v>20</v>
      </c>
      <c r="I14" t="s">
        <v>37</v>
      </c>
      <c r="K14" t="s">
        <v>2835</v>
      </c>
      <c r="L14" t="s">
        <v>2836</v>
      </c>
    </row>
    <row r="15" spans="1:13" ht="58" x14ac:dyDescent="0.35">
      <c r="A15" t="s">
        <v>2838</v>
      </c>
      <c r="B15" t="s">
        <v>1227</v>
      </c>
      <c r="C15" t="str">
        <f t="shared" si="2"/>
        <v>modules/cybermancy/assets/icons/subclasses/kick-open-the-front-door.webp</v>
      </c>
      <c r="D15" t="s">
        <v>2840</v>
      </c>
      <c r="E15" t="s">
        <v>1227</v>
      </c>
      <c r="F15" s="4" t="s">
        <v>2840</v>
      </c>
      <c r="G15" t="str">
        <f t="shared" si="1"/>
        <v>Kick open the front door</v>
      </c>
      <c r="H15" t="s">
        <v>20</v>
      </c>
      <c r="I15" t="s">
        <v>37</v>
      </c>
      <c r="K15" t="s">
        <v>2835</v>
      </c>
      <c r="L15" t="s">
        <v>2839</v>
      </c>
    </row>
    <row r="16" spans="1:13" x14ac:dyDescent="0.35">
      <c r="A16" t="s">
        <v>2841</v>
      </c>
      <c r="B16" t="s">
        <v>1227</v>
      </c>
      <c r="C16" t="str">
        <f t="shared" si="2"/>
        <v>modules/cybermancy/assets/icons/subclasses/boom-baby.webp</v>
      </c>
      <c r="D16" t="s">
        <v>2843</v>
      </c>
      <c r="E16" t="s">
        <v>1227</v>
      </c>
      <c r="F16" s="4" t="s">
        <v>2843</v>
      </c>
      <c r="G16" t="str">
        <f t="shared" si="1"/>
        <v>Boom baby</v>
      </c>
      <c r="H16" t="s">
        <v>20</v>
      </c>
      <c r="I16" t="s">
        <v>37</v>
      </c>
      <c r="K16" t="s">
        <v>2835</v>
      </c>
      <c r="L16" t="s">
        <v>2842</v>
      </c>
    </row>
    <row r="17" spans="1:12" ht="43.5" x14ac:dyDescent="0.35">
      <c r="A17" t="s">
        <v>2844</v>
      </c>
      <c r="B17" t="s">
        <v>1227</v>
      </c>
      <c r="C17" t="str">
        <f t="shared" si="2"/>
        <v>modules/cybermancy/assets/icons/subclasses/coming-through.webp</v>
      </c>
      <c r="D17" t="s">
        <v>2846</v>
      </c>
      <c r="E17" t="s">
        <v>1227</v>
      </c>
      <c r="F17" s="4" t="s">
        <v>2846</v>
      </c>
      <c r="G17" t="str">
        <f t="shared" si="1"/>
        <v>Coming through</v>
      </c>
      <c r="H17" t="s">
        <v>20</v>
      </c>
      <c r="I17" t="s">
        <v>37</v>
      </c>
      <c r="K17" t="s">
        <v>2835</v>
      </c>
      <c r="L17" t="s">
        <v>2845</v>
      </c>
    </row>
    <row r="18" spans="1:12" ht="29" x14ac:dyDescent="0.35">
      <c r="A18" t="s">
        <v>2847</v>
      </c>
      <c r="B18" t="s">
        <v>1227</v>
      </c>
      <c r="C18" t="str">
        <f t="shared" si="2"/>
        <v>modules/cybermancy/assets/icons/subclasses/digital-wasteland.webp</v>
      </c>
      <c r="D18" t="s">
        <v>2849</v>
      </c>
      <c r="E18" t="s">
        <v>1227</v>
      </c>
      <c r="F18" s="4" t="s">
        <v>2849</v>
      </c>
      <c r="G18" t="str">
        <f t="shared" si="1"/>
        <v>Digital wasteland</v>
      </c>
      <c r="H18" t="s">
        <v>20</v>
      </c>
      <c r="I18" t="s">
        <v>37</v>
      </c>
      <c r="K18" t="s">
        <v>2835</v>
      </c>
      <c r="L18" t="s">
        <v>2848</v>
      </c>
    </row>
    <row r="19" spans="1:12" x14ac:dyDescent="0.35">
      <c r="A19" t="s">
        <v>2850</v>
      </c>
      <c r="B19" t="s">
        <v>1227</v>
      </c>
      <c r="C19" t="str">
        <f t="shared" si="2"/>
        <v>modules/cybermancy/assets/icons/subclasses/power-up.webp</v>
      </c>
      <c r="D19" t="s">
        <v>2852</v>
      </c>
      <c r="E19" t="s">
        <v>1227</v>
      </c>
      <c r="F19" s="4" t="s">
        <v>2852</v>
      </c>
      <c r="G19" t="str">
        <f t="shared" si="1"/>
        <v>Power Up</v>
      </c>
      <c r="H19" t="s">
        <v>20</v>
      </c>
      <c r="I19" t="s">
        <v>37</v>
      </c>
      <c r="K19" t="s">
        <v>2800</v>
      </c>
      <c r="L19" t="s">
        <v>2851</v>
      </c>
    </row>
    <row r="20" spans="1:12" x14ac:dyDescent="0.35">
      <c r="A20" t="s">
        <v>2853</v>
      </c>
      <c r="B20" t="s">
        <v>1227</v>
      </c>
      <c r="C20" t="str">
        <f t="shared" si="2"/>
        <v>modules/cybermancy/assets/icons/subclasses/driving-expert.webp</v>
      </c>
      <c r="D20" t="s">
        <v>2855</v>
      </c>
      <c r="E20" t="s">
        <v>1227</v>
      </c>
      <c r="F20" s="4" t="s">
        <v>2855</v>
      </c>
      <c r="G20" t="str">
        <f t="shared" si="1"/>
        <v>Driving expert</v>
      </c>
      <c r="H20" t="s">
        <v>20</v>
      </c>
      <c r="I20" t="s">
        <v>37</v>
      </c>
      <c r="K20" t="s">
        <v>2800</v>
      </c>
      <c r="L20" t="s">
        <v>2854</v>
      </c>
    </row>
    <row r="21" spans="1:12" x14ac:dyDescent="0.35">
      <c r="A21" t="s">
        <v>2856</v>
      </c>
      <c r="B21" t="s">
        <v>1227</v>
      </c>
      <c r="C21" t="str">
        <f t="shared" si="2"/>
        <v>modules/cybermancy/assets/icons/subclasses/primary-drone.webp</v>
      </c>
      <c r="D21" t="s">
        <v>2858</v>
      </c>
      <c r="E21" t="s">
        <v>1227</v>
      </c>
      <c r="F21" s="4" t="s">
        <v>2858</v>
      </c>
      <c r="G21" t="str">
        <f t="shared" si="1"/>
        <v>Primary Drone</v>
      </c>
      <c r="H21" t="s">
        <v>20</v>
      </c>
      <c r="I21" t="s">
        <v>37</v>
      </c>
      <c r="K21" t="s">
        <v>2800</v>
      </c>
      <c r="L21" t="s">
        <v>2857</v>
      </c>
    </row>
    <row r="22" spans="1:12" x14ac:dyDescent="0.35">
      <c r="A22" t="s">
        <v>2859</v>
      </c>
      <c r="B22" t="s">
        <v>1227</v>
      </c>
      <c r="C22" t="str">
        <f t="shared" si="2"/>
        <v>modules/cybermancy/assets/icons/subclasses/the-right-drone-for-the-job.webp</v>
      </c>
      <c r="D22" t="s">
        <v>2861</v>
      </c>
      <c r="E22" t="s">
        <v>1227</v>
      </c>
      <c r="F22" s="4" t="s">
        <v>2861</v>
      </c>
      <c r="G22" t="str">
        <f t="shared" si="1"/>
        <v>The right drone for the job</v>
      </c>
      <c r="H22" t="s">
        <v>20</v>
      </c>
      <c r="I22" t="s">
        <v>37</v>
      </c>
      <c r="K22" t="s">
        <v>2800</v>
      </c>
      <c r="L22" t="s">
        <v>2860</v>
      </c>
    </row>
    <row r="23" spans="1:12" ht="29" x14ac:dyDescent="0.35">
      <c r="A23" t="s">
        <v>2862</v>
      </c>
      <c r="B23" t="s">
        <v>1227</v>
      </c>
      <c r="C23" t="str">
        <f t="shared" si="2"/>
        <v>modules/cybermancy/assets/icons/subclasses/drone-control.webp</v>
      </c>
      <c r="D23" t="s">
        <v>2863</v>
      </c>
      <c r="E23" t="s">
        <v>1227</v>
      </c>
      <c r="F23" s="4" t="s">
        <v>2863</v>
      </c>
      <c r="G23" t="str">
        <f t="shared" si="1"/>
        <v>Drone control</v>
      </c>
      <c r="H23" t="s">
        <v>20</v>
      </c>
      <c r="I23" t="s">
        <v>37</v>
      </c>
      <c r="K23" t="s">
        <v>2800</v>
      </c>
      <c r="L23" t="s">
        <v>2794</v>
      </c>
    </row>
    <row r="24" spans="1:12" ht="116" x14ac:dyDescent="0.35">
      <c r="A24" t="s">
        <v>2864</v>
      </c>
      <c r="B24" t="s">
        <v>1227</v>
      </c>
      <c r="C24" t="str">
        <f t="shared" si="2"/>
        <v>modules/cybermancy/assets/icons/subclasses/jack-of-all-trades-.webp</v>
      </c>
      <c r="D24" t="s">
        <v>2867</v>
      </c>
      <c r="E24" t="s">
        <v>1227</v>
      </c>
      <c r="F24" s="4" t="s">
        <v>2867</v>
      </c>
      <c r="G24" t="str">
        <f t="shared" si="1"/>
        <v xml:space="preserve">Jack of all trades </v>
      </c>
      <c r="H24" t="s">
        <v>20</v>
      </c>
      <c r="I24" t="s">
        <v>37</v>
      </c>
      <c r="K24" t="s">
        <v>2865</v>
      </c>
      <c r="L24" t="s">
        <v>2866</v>
      </c>
    </row>
    <row r="25" spans="1:12" x14ac:dyDescent="0.35">
      <c r="A25" t="s">
        <v>2868</v>
      </c>
      <c r="B25" t="s">
        <v>1227</v>
      </c>
      <c r="C25" t="str">
        <f t="shared" si="2"/>
        <v>modules/cybermancy/assets/icons/subclasses/primary-drone-upgrade.webp</v>
      </c>
      <c r="D25" t="s">
        <v>2870</v>
      </c>
      <c r="E25" t="s">
        <v>1227</v>
      </c>
      <c r="F25" s="4" t="s">
        <v>2870</v>
      </c>
      <c r="G25" t="str">
        <f t="shared" si="1"/>
        <v>Primary Drone upgrade</v>
      </c>
      <c r="H25" t="s">
        <v>20</v>
      </c>
      <c r="I25" t="s">
        <v>37</v>
      </c>
      <c r="K25" t="s">
        <v>2865</v>
      </c>
      <c r="L25" t="s">
        <v>2869</v>
      </c>
    </row>
    <row r="26" spans="1:12" x14ac:dyDescent="0.35">
      <c r="A26" t="s">
        <v>2952</v>
      </c>
      <c r="B26" t="s">
        <v>1227</v>
      </c>
      <c r="C26" t="str">
        <f t="shared" si="2"/>
        <v>modules/cybermancy/assets/icons/subclasses/lethal-combo.webp</v>
      </c>
      <c r="D26" t="s">
        <v>2953</v>
      </c>
      <c r="E26" t="s">
        <v>1227</v>
      </c>
      <c r="F26" s="4" t="s">
        <v>2953</v>
      </c>
      <c r="G26" t="str">
        <f t="shared" si="1"/>
        <v>Lethal Combo</v>
      </c>
      <c r="H26" t="s">
        <v>20</v>
      </c>
      <c r="I26" t="s">
        <v>37</v>
      </c>
      <c r="K26" t="s">
        <v>2865</v>
      </c>
      <c r="L26" t="s">
        <v>2954</v>
      </c>
    </row>
    <row r="27" spans="1:12" x14ac:dyDescent="0.35">
      <c r="A27" t="s">
        <v>2871</v>
      </c>
      <c r="B27" t="s">
        <v>1227</v>
      </c>
      <c r="C27" t="str">
        <f t="shared" si="2"/>
        <v>modules/cybermancy/assets/icons/subclasses/battle-bonded.webp</v>
      </c>
      <c r="D27" t="s">
        <v>2873</v>
      </c>
      <c r="E27" t="s">
        <v>1227</v>
      </c>
      <c r="F27" s="4" t="s">
        <v>2873</v>
      </c>
      <c r="G27" t="str">
        <f t="shared" si="1"/>
        <v>Battle-bonded</v>
      </c>
      <c r="H27" t="s">
        <v>20</v>
      </c>
      <c r="I27" t="s">
        <v>37</v>
      </c>
      <c r="K27" t="s">
        <v>2865</v>
      </c>
      <c r="L27" t="s">
        <v>2872</v>
      </c>
    </row>
    <row r="28" spans="1:12" ht="29" x14ac:dyDescent="0.35">
      <c r="A28" t="s">
        <v>2874</v>
      </c>
      <c r="B28" t="s">
        <v>1227</v>
      </c>
      <c r="C28" t="str">
        <f t="shared" si="2"/>
        <v>modules/cybermancy/assets/icons/subclasses/joined-at-the-hip.webp</v>
      </c>
      <c r="D28" t="s">
        <v>2876</v>
      </c>
      <c r="E28" t="s">
        <v>1227</v>
      </c>
      <c r="F28" s="4" t="s">
        <v>2876</v>
      </c>
      <c r="G28" t="str">
        <f t="shared" si="1"/>
        <v>Joined at the hip</v>
      </c>
      <c r="H28" t="s">
        <v>20</v>
      </c>
      <c r="I28" t="s">
        <v>37</v>
      </c>
      <c r="K28" t="s">
        <v>2865</v>
      </c>
      <c r="L28" t="s">
        <v>2875</v>
      </c>
    </row>
    <row r="29" spans="1:12" ht="101.5" x14ac:dyDescent="0.35">
      <c r="A29" t="s">
        <v>2877</v>
      </c>
      <c r="B29" t="s">
        <v>1227</v>
      </c>
      <c r="C29" t="str">
        <f t="shared" si="2"/>
        <v>modules/cybermancy/assets/icons/subclasses/speed-racer.webp</v>
      </c>
      <c r="D29" t="s">
        <v>2880</v>
      </c>
      <c r="E29" t="s">
        <v>1227</v>
      </c>
      <c r="F29" s="4" t="s">
        <v>2880</v>
      </c>
      <c r="G29" t="str">
        <f t="shared" si="1"/>
        <v>Speed racer</v>
      </c>
      <c r="H29" t="s">
        <v>20</v>
      </c>
      <c r="I29" t="s">
        <v>37</v>
      </c>
      <c r="K29" t="s">
        <v>2878</v>
      </c>
      <c r="L29" t="s">
        <v>2879</v>
      </c>
    </row>
    <row r="30" spans="1:12" x14ac:dyDescent="0.35">
      <c r="A30" t="s">
        <v>2881</v>
      </c>
      <c r="B30" t="s">
        <v>1227</v>
      </c>
      <c r="C30" t="str">
        <f t="shared" si="2"/>
        <v>modules/cybermancy/assets/icons/subclasses/fast-car.webp</v>
      </c>
      <c r="D30" t="s">
        <v>2883</v>
      </c>
      <c r="E30" t="s">
        <v>1227</v>
      </c>
      <c r="F30" s="4" t="s">
        <v>2883</v>
      </c>
      <c r="G30" t="str">
        <f t="shared" si="1"/>
        <v>Fast car</v>
      </c>
      <c r="H30" t="s">
        <v>20</v>
      </c>
      <c r="I30" t="s">
        <v>37</v>
      </c>
      <c r="K30" t="s">
        <v>2878</v>
      </c>
      <c r="L30" t="s">
        <v>2882</v>
      </c>
    </row>
    <row r="31" spans="1:12" x14ac:dyDescent="0.35">
      <c r="A31" t="s">
        <v>2884</v>
      </c>
      <c r="B31" t="s">
        <v>1227</v>
      </c>
      <c r="C31" t="str">
        <f t="shared" si="2"/>
        <v>modules/cybermancy/assets/icons/subclasses/inspired-driving.webp</v>
      </c>
      <c r="D31" t="s">
        <v>2886</v>
      </c>
      <c r="E31" t="s">
        <v>1227</v>
      </c>
      <c r="F31" s="4" t="s">
        <v>2886</v>
      </c>
      <c r="G31" t="str">
        <f t="shared" si="1"/>
        <v>Inspired Driving</v>
      </c>
      <c r="H31" t="s">
        <v>20</v>
      </c>
      <c r="I31" t="s">
        <v>37</v>
      </c>
      <c r="K31" t="s">
        <v>2878</v>
      </c>
      <c r="L31" t="s">
        <v>2885</v>
      </c>
    </row>
    <row r="32" spans="1:12" x14ac:dyDescent="0.35">
      <c r="A32" t="s">
        <v>2887</v>
      </c>
      <c r="B32" t="s">
        <v>1227</v>
      </c>
      <c r="C32" t="str">
        <f t="shared" si="2"/>
        <v>modules/cybermancy/assets/icons/subclasses/need-for-speed.webp</v>
      </c>
      <c r="D32" t="s">
        <v>2889</v>
      </c>
      <c r="E32" t="s">
        <v>1227</v>
      </c>
      <c r="F32" s="4" t="s">
        <v>2889</v>
      </c>
      <c r="G32" t="str">
        <f t="shared" si="1"/>
        <v>Need for speed</v>
      </c>
      <c r="H32" t="s">
        <v>20</v>
      </c>
      <c r="I32" t="s">
        <v>37</v>
      </c>
      <c r="K32" t="s">
        <v>2878</v>
      </c>
      <c r="L32" t="s">
        <v>2888</v>
      </c>
    </row>
    <row r="33" spans="1:12" x14ac:dyDescent="0.35">
      <c r="A33" t="s">
        <v>2890</v>
      </c>
      <c r="B33" t="s">
        <v>1227</v>
      </c>
      <c r="C33" t="str">
        <f t="shared" si="2"/>
        <v>modules/cybermancy/assets/icons/subclasses/ive-driven-this-before.webp</v>
      </c>
      <c r="D33" t="s">
        <v>2892</v>
      </c>
      <c r="E33" t="s">
        <v>1227</v>
      </c>
      <c r="F33" s="4" t="s">
        <v>2892</v>
      </c>
      <c r="G33" t="str">
        <f t="shared" si="1"/>
        <v>I’ve driven this before</v>
      </c>
      <c r="H33" t="s">
        <v>20</v>
      </c>
      <c r="I33" t="s">
        <v>37</v>
      </c>
      <c r="K33" t="s">
        <v>2878</v>
      </c>
      <c r="L33" t="s">
        <v>2891</v>
      </c>
    </row>
    <row r="34" spans="1:12" x14ac:dyDescent="0.35">
      <c r="A34" t="s">
        <v>2893</v>
      </c>
      <c r="B34" t="s">
        <v>1227</v>
      </c>
      <c r="C34" t="str">
        <f t="shared" si="2"/>
        <v>modules/cybermancy/assets/icons/subclasses/expert-maneuver.webp</v>
      </c>
      <c r="D34" t="s">
        <v>2895</v>
      </c>
      <c r="E34" t="s">
        <v>1227</v>
      </c>
      <c r="F34" s="4" t="s">
        <v>2895</v>
      </c>
      <c r="G34" t="str">
        <f t="shared" si="1"/>
        <v>Expert maneuver</v>
      </c>
      <c r="H34" t="s">
        <v>20</v>
      </c>
      <c r="I34" t="s">
        <v>37</v>
      </c>
      <c r="K34" t="s">
        <v>2878</v>
      </c>
      <c r="L34" t="s">
        <v>2894</v>
      </c>
    </row>
    <row r="35" spans="1:12" ht="145" x14ac:dyDescent="0.35">
      <c r="A35" t="s">
        <v>2896</v>
      </c>
      <c r="B35" t="s">
        <v>1227</v>
      </c>
      <c r="C35" t="str">
        <f t="shared" si="2"/>
        <v>modules/cybermancy/assets/icons/subclasses/street-samuri.webp</v>
      </c>
      <c r="D35" t="s">
        <v>2899</v>
      </c>
      <c r="E35" t="s">
        <v>1227</v>
      </c>
      <c r="F35" s="4" t="s">
        <v>2899</v>
      </c>
      <c r="G35" t="str">
        <f t="shared" si="1"/>
        <v>Street Samuri</v>
      </c>
      <c r="H35" t="s">
        <v>20</v>
      </c>
      <c r="I35" t="s">
        <v>37</v>
      </c>
      <c r="K35" t="s">
        <v>2897</v>
      </c>
      <c r="L35" t="s">
        <v>2898</v>
      </c>
    </row>
    <row r="36" spans="1:12" x14ac:dyDescent="0.35">
      <c r="A36" t="s">
        <v>2900</v>
      </c>
      <c r="B36" t="s">
        <v>1227</v>
      </c>
      <c r="C36" t="str">
        <f t="shared" si="2"/>
        <v>modules/cybermancy/assets/icons/subclasses/focused-aggression.webp</v>
      </c>
      <c r="D36" t="s">
        <v>2902</v>
      </c>
      <c r="E36" t="s">
        <v>1227</v>
      </c>
      <c r="F36" s="4" t="s">
        <v>2902</v>
      </c>
      <c r="G36" t="str">
        <f t="shared" si="1"/>
        <v>Focused aggression</v>
      </c>
      <c r="H36" t="s">
        <v>20</v>
      </c>
      <c r="I36" t="s">
        <v>37</v>
      </c>
      <c r="K36" t="s">
        <v>2897</v>
      </c>
      <c r="L36" t="s">
        <v>2901</v>
      </c>
    </row>
    <row r="37" spans="1:12" ht="29" x14ac:dyDescent="0.35">
      <c r="A37" t="s">
        <v>2903</v>
      </c>
      <c r="B37" t="s">
        <v>1227</v>
      </c>
      <c r="C37" t="str">
        <f t="shared" si="2"/>
        <v>modules/cybermancy/assets/icons/subclasses/quick-reflexes.webp</v>
      </c>
      <c r="D37" t="s">
        <v>2905</v>
      </c>
      <c r="E37" t="s">
        <v>1227</v>
      </c>
      <c r="F37" s="4" t="s">
        <v>2905</v>
      </c>
      <c r="G37" t="str">
        <f t="shared" si="1"/>
        <v>Quick reflexes</v>
      </c>
      <c r="H37" t="s">
        <v>20</v>
      </c>
      <c r="I37" t="s">
        <v>39</v>
      </c>
      <c r="K37" t="s">
        <v>2897</v>
      </c>
      <c r="L37" t="s">
        <v>2904</v>
      </c>
    </row>
    <row r="38" spans="1:12" ht="29" x14ac:dyDescent="0.35">
      <c r="A38" t="s">
        <v>2906</v>
      </c>
      <c r="B38" t="s">
        <v>1227</v>
      </c>
      <c r="C38" t="str">
        <f t="shared" si="2"/>
        <v>modules/cybermancy/assets/icons/subclasses/dual-wielding.webp</v>
      </c>
      <c r="D38" t="s">
        <v>2908</v>
      </c>
      <c r="E38" t="s">
        <v>1227</v>
      </c>
      <c r="F38" s="4" t="s">
        <v>2908</v>
      </c>
      <c r="G38" t="str">
        <f t="shared" si="1"/>
        <v>Dual wielding</v>
      </c>
      <c r="H38" t="s">
        <v>20</v>
      </c>
      <c r="I38" t="s">
        <v>37</v>
      </c>
      <c r="K38" t="s">
        <v>2897</v>
      </c>
      <c r="L38" t="s">
        <v>2907</v>
      </c>
    </row>
    <row r="39" spans="1:12" ht="101.5" x14ac:dyDescent="0.35">
      <c r="A39" t="s">
        <v>2670</v>
      </c>
      <c r="B39" t="s">
        <v>1227</v>
      </c>
      <c r="C39" t="str">
        <f t="shared" si="2"/>
        <v>modules/cybermancy/assets/icons/subclasses/bodyguard.webp</v>
      </c>
      <c r="D39" t="s">
        <v>2910</v>
      </c>
      <c r="E39" t="s">
        <v>1227</v>
      </c>
      <c r="F39" s="4" t="s">
        <v>2910</v>
      </c>
      <c r="G39" t="str">
        <f t="shared" si="1"/>
        <v>Bodyguard</v>
      </c>
      <c r="H39" t="s">
        <v>20</v>
      </c>
      <c r="I39" t="s">
        <v>37</v>
      </c>
      <c r="K39" t="s">
        <v>2909</v>
      </c>
      <c r="L39" t="s">
        <v>2792</v>
      </c>
    </row>
    <row r="40" spans="1:12" ht="29" x14ac:dyDescent="0.35">
      <c r="A40" t="s">
        <v>2911</v>
      </c>
      <c r="B40" t="s">
        <v>1227</v>
      </c>
      <c r="C40" t="str">
        <f t="shared" si="2"/>
        <v>modules/cybermancy/assets/icons/subclasses/protection-assignment.webp</v>
      </c>
      <c r="D40" t="s">
        <v>2913</v>
      </c>
      <c r="E40" t="s">
        <v>1227</v>
      </c>
      <c r="F40" s="4" t="s">
        <v>2913</v>
      </c>
      <c r="G40" t="str">
        <f t="shared" si="1"/>
        <v>Protection assignment</v>
      </c>
      <c r="H40" t="s">
        <v>20</v>
      </c>
      <c r="I40" t="s">
        <v>37</v>
      </c>
      <c r="K40" t="s">
        <v>2909</v>
      </c>
      <c r="L40" t="s">
        <v>2912</v>
      </c>
    </row>
    <row r="41" spans="1:12" ht="29" x14ac:dyDescent="0.35">
      <c r="A41" t="s">
        <v>2914</v>
      </c>
      <c r="B41" t="s">
        <v>1227</v>
      </c>
      <c r="C41" t="str">
        <f t="shared" si="2"/>
        <v>modules/cybermancy/assets/icons/subclasses/situational-awareness.webp</v>
      </c>
      <c r="D41" t="s">
        <v>2915</v>
      </c>
      <c r="E41" t="s">
        <v>1227</v>
      </c>
      <c r="F41" s="4" t="s">
        <v>2915</v>
      </c>
      <c r="G41" t="str">
        <f t="shared" si="1"/>
        <v>Situational awareness</v>
      </c>
      <c r="H41" t="s">
        <v>20</v>
      </c>
      <c r="I41" t="s">
        <v>37</v>
      </c>
      <c r="K41" t="s">
        <v>2909</v>
      </c>
      <c r="L41" t="s">
        <v>2793</v>
      </c>
    </row>
    <row r="42" spans="1:12" ht="43.5" x14ac:dyDescent="0.35">
      <c r="A42" t="s">
        <v>2916</v>
      </c>
      <c r="B42" t="s">
        <v>1227</v>
      </c>
      <c r="C42" t="str">
        <f t="shared" si="2"/>
        <v>modules/cybermancy/assets/icons/subclasses/get-behind-me.webp</v>
      </c>
      <c r="D42" t="s">
        <v>2918</v>
      </c>
      <c r="E42" t="s">
        <v>1227</v>
      </c>
      <c r="F42" s="4" t="s">
        <v>2918</v>
      </c>
      <c r="G42" t="str">
        <f t="shared" si="1"/>
        <v>Get behind me</v>
      </c>
      <c r="H42" t="s">
        <v>20</v>
      </c>
      <c r="I42" t="s">
        <v>37</v>
      </c>
      <c r="K42" t="s">
        <v>2909</v>
      </c>
      <c r="L42" t="s">
        <v>2917</v>
      </c>
    </row>
    <row r="43" spans="1:12" x14ac:dyDescent="0.35">
      <c r="A43" t="s">
        <v>2919</v>
      </c>
      <c r="B43" t="s">
        <v>1227</v>
      </c>
      <c r="C43" t="str">
        <f t="shared" si="2"/>
        <v>modules/cybermancy/assets/icons/subclasses/two-foci.webp</v>
      </c>
      <c r="D43" t="s">
        <v>2921</v>
      </c>
      <c r="E43" t="s">
        <v>1227</v>
      </c>
      <c r="F43" s="4" t="s">
        <v>2921</v>
      </c>
      <c r="G43" t="str">
        <f t="shared" si="1"/>
        <v>Two foci</v>
      </c>
      <c r="H43" t="s">
        <v>20</v>
      </c>
      <c r="I43" t="s">
        <v>37</v>
      </c>
      <c r="K43" t="s">
        <v>2909</v>
      </c>
      <c r="L43" t="s">
        <v>2920</v>
      </c>
    </row>
    <row r="44" spans="1:12" x14ac:dyDescent="0.35">
      <c r="A44" t="s">
        <v>2922</v>
      </c>
      <c r="B44" t="s">
        <v>1227</v>
      </c>
      <c r="C44" t="str">
        <f t="shared" si="2"/>
        <v>modules/cybermancy/assets/icons/subclasses/sphere-of-control.webp</v>
      </c>
      <c r="D44" t="s">
        <v>2924</v>
      </c>
      <c r="E44" t="s">
        <v>1227</v>
      </c>
      <c r="F44" s="4" t="s">
        <v>2924</v>
      </c>
      <c r="G44" t="str">
        <f t="shared" si="1"/>
        <v>Sphere of control</v>
      </c>
      <c r="H44" t="s">
        <v>20</v>
      </c>
      <c r="I44" t="s">
        <v>37</v>
      </c>
      <c r="K44" t="s">
        <v>2909</v>
      </c>
      <c r="L44" t="s">
        <v>2923</v>
      </c>
    </row>
    <row r="45" spans="1:12" x14ac:dyDescent="0.35">
      <c r="A45" t="s">
        <v>2925</v>
      </c>
      <c r="B45" t="s">
        <v>1227</v>
      </c>
      <c r="C45" t="str">
        <f t="shared" si="2"/>
        <v>modules/cybermancy/assets/icons/subclasses/calm-in-the-storm.webp</v>
      </c>
      <c r="D45" t="s">
        <v>2927</v>
      </c>
      <c r="E45" t="s">
        <v>1227</v>
      </c>
      <c r="F45" s="4" t="s">
        <v>2927</v>
      </c>
      <c r="G45" t="str">
        <f t="shared" si="1"/>
        <v>Calm in the storm</v>
      </c>
      <c r="H45" t="s">
        <v>20</v>
      </c>
      <c r="I45" t="s">
        <v>38</v>
      </c>
      <c r="K45" t="s">
        <v>2909</v>
      </c>
      <c r="L45" t="s">
        <v>2926</v>
      </c>
    </row>
    <row r="46" spans="1:12" ht="101.5" x14ac:dyDescent="0.35">
      <c r="A46" t="s">
        <v>2928</v>
      </c>
      <c r="B46" t="s">
        <v>1227</v>
      </c>
      <c r="C46" t="str">
        <f t="shared" si="2"/>
        <v>modules/cybermancy/assets/icons/subclasses/mercenary.webp</v>
      </c>
      <c r="D46" t="s">
        <v>2931</v>
      </c>
      <c r="E46" t="s">
        <v>1227</v>
      </c>
      <c r="F46" s="4" t="s">
        <v>2931</v>
      </c>
      <c r="G46" t="str">
        <f t="shared" si="1"/>
        <v>Mercenary</v>
      </c>
      <c r="H46" t="s">
        <v>20</v>
      </c>
      <c r="I46" t="s">
        <v>37</v>
      </c>
      <c r="K46" t="s">
        <v>2929</v>
      </c>
      <c r="L46" t="s">
        <v>2930</v>
      </c>
    </row>
    <row r="47" spans="1:12" ht="43.5" x14ac:dyDescent="0.35">
      <c r="A47" t="s">
        <v>2932</v>
      </c>
      <c r="B47" t="s">
        <v>1227</v>
      </c>
      <c r="C47" t="str">
        <f t="shared" si="2"/>
        <v>modules/cybermancy/assets/icons/subclasses/gun-trainer.webp</v>
      </c>
      <c r="D47" t="s">
        <v>2933</v>
      </c>
      <c r="E47" t="s">
        <v>1227</v>
      </c>
      <c r="F47" s="4" t="s">
        <v>2933</v>
      </c>
      <c r="G47" t="str">
        <f t="shared" si="1"/>
        <v>Gun trainer</v>
      </c>
      <c r="H47" t="s">
        <v>20</v>
      </c>
      <c r="I47" t="s">
        <v>37</v>
      </c>
      <c r="K47" t="s">
        <v>2929</v>
      </c>
      <c r="L47" t="s">
        <v>2791</v>
      </c>
    </row>
    <row r="48" spans="1:12" ht="43.5" x14ac:dyDescent="0.35">
      <c r="A48" t="s">
        <v>2934</v>
      </c>
      <c r="B48" t="s">
        <v>1227</v>
      </c>
      <c r="C48" t="str">
        <f t="shared" si="2"/>
        <v>modules/cybermancy/assets/icons/subclasses/resolve.webp</v>
      </c>
      <c r="D48" t="s">
        <v>2936</v>
      </c>
      <c r="E48" t="s">
        <v>1227</v>
      </c>
      <c r="F48" s="4" t="s">
        <v>2936</v>
      </c>
      <c r="G48" t="str">
        <f t="shared" si="1"/>
        <v>Resolve</v>
      </c>
      <c r="H48" t="s">
        <v>20</v>
      </c>
      <c r="I48" t="s">
        <v>37</v>
      </c>
      <c r="K48" t="s">
        <v>2929</v>
      </c>
      <c r="L48" t="s">
        <v>2935</v>
      </c>
    </row>
    <row r="49" spans="1:12" ht="29" x14ac:dyDescent="0.35">
      <c r="A49" t="s">
        <v>2937</v>
      </c>
      <c r="B49" t="s">
        <v>1227</v>
      </c>
      <c r="C49" t="str">
        <f t="shared" si="2"/>
        <v>modules/cybermancy/assets/icons/subclasses/youre-in-my-sights.webp</v>
      </c>
      <c r="D49" t="s">
        <v>2939</v>
      </c>
      <c r="E49" t="s">
        <v>1227</v>
      </c>
      <c r="F49" s="4" t="s">
        <v>2939</v>
      </c>
      <c r="G49" t="str">
        <f t="shared" si="1"/>
        <v>You’re in my sights</v>
      </c>
      <c r="H49" t="s">
        <v>20</v>
      </c>
      <c r="I49" t="s">
        <v>37</v>
      </c>
      <c r="K49" t="s">
        <v>2929</v>
      </c>
      <c r="L49" t="s">
        <v>2938</v>
      </c>
    </row>
    <row r="50" spans="1:12" ht="29" x14ac:dyDescent="0.35">
      <c r="A50" t="s">
        <v>788</v>
      </c>
      <c r="B50" t="s">
        <v>1227</v>
      </c>
      <c r="C50" t="str">
        <f t="shared" si="2"/>
        <v>modules/cybermancy/assets/icons/subclasses/whirlwind.webp</v>
      </c>
      <c r="D50" t="s">
        <v>2941</v>
      </c>
      <c r="E50" t="s">
        <v>1227</v>
      </c>
      <c r="F50" s="4" t="s">
        <v>2941</v>
      </c>
      <c r="G50" t="str">
        <f t="shared" si="1"/>
        <v>Whirlwind</v>
      </c>
      <c r="H50" t="s">
        <v>20</v>
      </c>
      <c r="I50" t="s">
        <v>37</v>
      </c>
      <c r="K50" t="s">
        <v>2929</v>
      </c>
      <c r="L50" t="s">
        <v>2940</v>
      </c>
    </row>
    <row r="51" spans="1:12" x14ac:dyDescent="0.35">
      <c r="A51" t="s">
        <v>2942</v>
      </c>
      <c r="B51" t="s">
        <v>1227</v>
      </c>
      <c r="C51" t="str">
        <f t="shared" si="2"/>
        <v>modules/cybermancy/assets/icons/subclasses/heavy-ordinance.webp</v>
      </c>
      <c r="D51" t="s">
        <v>2944</v>
      </c>
      <c r="E51" t="s">
        <v>1227</v>
      </c>
      <c r="F51" s="4" t="s">
        <v>2944</v>
      </c>
      <c r="G51" t="str">
        <f t="shared" si="1"/>
        <v>Heavy Ordinance</v>
      </c>
      <c r="H51" t="s">
        <v>20</v>
      </c>
      <c r="I51" t="s">
        <v>37</v>
      </c>
      <c r="K51" t="s">
        <v>2929</v>
      </c>
      <c r="L51" t="s">
        <v>2943</v>
      </c>
    </row>
    <row r="52" spans="1:12" ht="145" x14ac:dyDescent="0.35">
      <c r="A52" t="s">
        <v>3831</v>
      </c>
      <c r="B52" t="s">
        <v>1227</v>
      </c>
      <c r="C52" t="str">
        <f t="shared" si="2"/>
        <v>modules/cybermancy/assets/icons/subclasses/cybermancer.webp</v>
      </c>
      <c r="D52" t="s">
        <v>3837</v>
      </c>
      <c r="F52" s="4" t="s">
        <v>3837</v>
      </c>
      <c r="G52" t="s">
        <v>3831</v>
      </c>
      <c r="H52" t="s">
        <v>20</v>
      </c>
      <c r="I52" t="s">
        <v>37</v>
      </c>
      <c r="K52" t="s">
        <v>3871</v>
      </c>
      <c r="L52" t="str">
        <f>LOWER(SUBSTITUTE(G52, " ", "-"))</f>
        <v>cybermancer</v>
      </c>
    </row>
    <row r="53" spans="1:12" ht="145" x14ac:dyDescent="0.35">
      <c r="A53" t="s">
        <v>3832</v>
      </c>
      <c r="B53" t="s">
        <v>1227</v>
      </c>
      <c r="C53" t="str">
        <f t="shared" si="2"/>
        <v>modules/cybermancy/assets/icons/subclasses/amplifier.webp</v>
      </c>
      <c r="D53" t="s">
        <v>3839</v>
      </c>
      <c r="F53" s="4" t="s">
        <v>3839</v>
      </c>
      <c r="G53" t="s">
        <v>3832</v>
      </c>
      <c r="H53" t="s">
        <v>20</v>
      </c>
      <c r="I53" t="s">
        <v>37</v>
      </c>
      <c r="K53" t="s">
        <v>3872</v>
      </c>
      <c r="L53" t="str">
        <f t="shared" ref="L53:L71" si="3">LOWER(SUBSTITUTE(G53, " ", "-"))</f>
        <v>amplifier</v>
      </c>
    </row>
    <row r="54" spans="1:12" x14ac:dyDescent="0.35">
      <c r="A54" t="s">
        <v>3833</v>
      </c>
      <c r="B54" t="s">
        <v>1227</v>
      </c>
      <c r="C54" t="str">
        <f t="shared" si="2"/>
        <v>modules/cybermancy/assets/icons/subclasses/ride-the-wave.webp</v>
      </c>
      <c r="D54" t="s">
        <v>3838</v>
      </c>
      <c r="F54" s="4" t="s">
        <v>3838</v>
      </c>
      <c r="G54" t="s">
        <v>3833</v>
      </c>
      <c r="H54" t="s">
        <v>20</v>
      </c>
      <c r="I54" t="s">
        <v>37</v>
      </c>
      <c r="K54" t="s">
        <v>3871</v>
      </c>
      <c r="L54" t="str">
        <f t="shared" si="3"/>
        <v>ride-the-wave</v>
      </c>
    </row>
    <row r="55" spans="1:12" ht="29" x14ac:dyDescent="0.35">
      <c r="A55" t="s">
        <v>3834</v>
      </c>
      <c r="B55" t="s">
        <v>1227</v>
      </c>
      <c r="C55" t="str">
        <f t="shared" si="2"/>
        <v>modules/cybermancy/assets/icons/subclasses/feedback-loop.webp</v>
      </c>
      <c r="D55" t="s">
        <v>3840</v>
      </c>
      <c r="F55" s="4" t="s">
        <v>3840</v>
      </c>
      <c r="G55" t="s">
        <v>3834</v>
      </c>
      <c r="H55" t="s">
        <v>20</v>
      </c>
      <c r="I55" t="s">
        <v>37</v>
      </c>
      <c r="K55" t="s">
        <v>3871</v>
      </c>
      <c r="L55" t="str">
        <f t="shared" si="3"/>
        <v>feedback-loop</v>
      </c>
    </row>
    <row r="56" spans="1:12" ht="43.5" x14ac:dyDescent="0.35">
      <c r="A56" t="s">
        <v>3835</v>
      </c>
      <c r="B56" t="s">
        <v>1227</v>
      </c>
      <c r="C56" t="str">
        <f t="shared" si="2"/>
        <v>modules/cybermancy/assets/icons/subclasses/fractal-surge.webp</v>
      </c>
      <c r="D56" t="s">
        <v>3841</v>
      </c>
      <c r="F56" s="4" t="s">
        <v>3841</v>
      </c>
      <c r="G56" t="s">
        <v>3835</v>
      </c>
      <c r="H56" t="s">
        <v>20</v>
      </c>
      <c r="I56" t="s">
        <v>37</v>
      </c>
      <c r="K56" t="s">
        <v>3871</v>
      </c>
      <c r="L56" t="str">
        <f t="shared" si="3"/>
        <v>fractal-surge</v>
      </c>
    </row>
    <row r="57" spans="1:12" ht="43.5" x14ac:dyDescent="0.35">
      <c r="A57" t="s">
        <v>3836</v>
      </c>
      <c r="B57" t="s">
        <v>1227</v>
      </c>
      <c r="C57" t="str">
        <f t="shared" si="2"/>
        <v>modules/cybermancy/assets/icons/subclasses/detect-anomaly.webp</v>
      </c>
      <c r="D57" t="s">
        <v>3842</v>
      </c>
      <c r="F57" s="4" t="s">
        <v>3842</v>
      </c>
      <c r="G57" t="s">
        <v>3836</v>
      </c>
      <c r="H57" t="s">
        <v>20</v>
      </c>
      <c r="I57" t="s">
        <v>37</v>
      </c>
      <c r="K57" t="s">
        <v>3871</v>
      </c>
      <c r="L57" t="str">
        <f t="shared" si="3"/>
        <v>detect-anomaly</v>
      </c>
    </row>
    <row r="58" spans="1:12" ht="29" x14ac:dyDescent="0.35">
      <c r="A58" t="s">
        <v>3843</v>
      </c>
      <c r="B58" t="s">
        <v>1227</v>
      </c>
      <c r="C58" t="str">
        <f t="shared" si="2"/>
        <v>modules/cybermancy/assets/icons/subclasses/reverb-.webp</v>
      </c>
      <c r="D58" t="s">
        <v>3844</v>
      </c>
      <c r="F58" s="4" t="s">
        <v>3844</v>
      </c>
      <c r="G58" t="s">
        <v>3843</v>
      </c>
      <c r="H58" t="s">
        <v>20</v>
      </c>
      <c r="I58" t="s">
        <v>37</v>
      </c>
      <c r="K58" t="s">
        <v>3872</v>
      </c>
      <c r="L58" t="str">
        <f t="shared" si="3"/>
        <v>reverb-</v>
      </c>
    </row>
    <row r="59" spans="1:12" x14ac:dyDescent="0.35">
      <c r="A59" t="s">
        <v>3845</v>
      </c>
      <c r="B59" t="s">
        <v>1227</v>
      </c>
      <c r="C59" t="str">
        <f t="shared" si="2"/>
        <v>modules/cybermancy/assets/icons/subclasses/chaos-wave.webp</v>
      </c>
      <c r="D59" t="s">
        <v>3846</v>
      </c>
      <c r="F59" s="4" t="s">
        <v>3846</v>
      </c>
      <c r="G59" t="s">
        <v>3845</v>
      </c>
      <c r="H59" t="s">
        <v>20</v>
      </c>
      <c r="I59" t="s">
        <v>37</v>
      </c>
      <c r="K59" t="s">
        <v>3872</v>
      </c>
      <c r="L59" t="str">
        <f t="shared" si="3"/>
        <v>chaos-wave</v>
      </c>
    </row>
    <row r="60" spans="1:12" x14ac:dyDescent="0.35">
      <c r="A60" t="s">
        <v>3847</v>
      </c>
      <c r="B60" t="s">
        <v>1227</v>
      </c>
      <c r="C60" t="str">
        <f t="shared" si="2"/>
        <v>modules/cybermancy/assets/icons/subclasses/resonant-overdrive.webp</v>
      </c>
      <c r="D60" t="s">
        <v>3848</v>
      </c>
      <c r="F60" s="4" t="s">
        <v>3848</v>
      </c>
      <c r="G60" t="s">
        <v>3847</v>
      </c>
      <c r="H60" t="s">
        <v>20</v>
      </c>
      <c r="I60" t="s">
        <v>37</v>
      </c>
      <c r="K60" t="s">
        <v>3872</v>
      </c>
      <c r="L60" t="str">
        <f t="shared" si="3"/>
        <v>resonant-overdrive</v>
      </c>
    </row>
    <row r="61" spans="1:12" x14ac:dyDescent="0.35">
      <c r="A61" t="s">
        <v>3850</v>
      </c>
      <c r="B61" t="s">
        <v>1227</v>
      </c>
      <c r="C61" t="str">
        <f t="shared" si="2"/>
        <v>modules/cybermancy/assets/icons/subclasses/disorientation.webp</v>
      </c>
      <c r="D61" t="s">
        <v>3849</v>
      </c>
      <c r="F61" s="4" t="s">
        <v>3849</v>
      </c>
      <c r="G61" t="s">
        <v>3850</v>
      </c>
      <c r="H61" t="s">
        <v>20</v>
      </c>
      <c r="I61" t="s">
        <v>37</v>
      </c>
      <c r="K61" t="s">
        <v>3872</v>
      </c>
      <c r="L61" t="str">
        <f t="shared" si="3"/>
        <v>disorientation</v>
      </c>
    </row>
    <row r="62" spans="1:12" ht="29" x14ac:dyDescent="0.35">
      <c r="A62" t="s">
        <v>3851</v>
      </c>
      <c r="B62" t="s">
        <v>1227</v>
      </c>
      <c r="C62" t="str">
        <f t="shared" si="2"/>
        <v>modules/cybermancy/assets/icons/subclasses/reality-fissure.webp</v>
      </c>
      <c r="D62" t="s">
        <v>3852</v>
      </c>
      <c r="F62" s="4" t="s">
        <v>3852</v>
      </c>
      <c r="G62" t="s">
        <v>3851</v>
      </c>
      <c r="H62" t="s">
        <v>20</v>
      </c>
      <c r="I62" t="s">
        <v>37</v>
      </c>
      <c r="K62" t="s">
        <v>3872</v>
      </c>
      <c r="L62" t="str">
        <f t="shared" si="3"/>
        <v>reality-fissure</v>
      </c>
    </row>
    <row r="63" spans="1:12" x14ac:dyDescent="0.35">
      <c r="A63" t="s">
        <v>3854</v>
      </c>
      <c r="B63" t="s">
        <v>1227</v>
      </c>
      <c r="C63" t="str">
        <f t="shared" si="2"/>
        <v>modules/cybermancy/assets/icons/subclasses/schlieren-patterns.webp</v>
      </c>
      <c r="D63" t="s">
        <v>3853</v>
      </c>
      <c r="F63" s="4" t="s">
        <v>3853</v>
      </c>
      <c r="G63" t="s">
        <v>3854</v>
      </c>
      <c r="H63" t="s">
        <v>20</v>
      </c>
      <c r="I63" t="s">
        <v>37</v>
      </c>
      <c r="K63" t="s">
        <v>3872</v>
      </c>
      <c r="L63" t="str">
        <f t="shared" si="3"/>
        <v>schlieren-patterns</v>
      </c>
    </row>
    <row r="64" spans="1:12" ht="29" x14ac:dyDescent="0.35">
      <c r="A64" t="s">
        <v>3855</v>
      </c>
      <c r="B64" t="s">
        <v>1227</v>
      </c>
      <c r="C64" t="str">
        <f t="shared" si="2"/>
        <v>modules/cybermancy/assets/icons/subclasses/reprogram-reality.webp</v>
      </c>
      <c r="D64" t="s">
        <v>3856</v>
      </c>
      <c r="F64" s="4" t="s">
        <v>3856</v>
      </c>
      <c r="G64" t="s">
        <v>3855</v>
      </c>
      <c r="H64" t="s">
        <v>20</v>
      </c>
      <c r="I64" t="s">
        <v>37</v>
      </c>
      <c r="K64" t="s">
        <v>3872</v>
      </c>
      <c r="L64" t="str">
        <f t="shared" si="3"/>
        <v>reprogram-reality</v>
      </c>
    </row>
    <row r="65" spans="1:12" ht="101.5" x14ac:dyDescent="0.35">
      <c r="A65" t="s">
        <v>3857</v>
      </c>
      <c r="B65" t="s">
        <v>1227</v>
      </c>
      <c r="C65" t="str">
        <f t="shared" si="2"/>
        <v>modules/cybermancy/assets/icons/subclasses/dampener.webp</v>
      </c>
      <c r="D65" t="s">
        <v>3858</v>
      </c>
      <c r="F65" s="4" t="s">
        <v>3858</v>
      </c>
      <c r="G65" t="s">
        <v>3857</v>
      </c>
      <c r="H65" t="s">
        <v>20</v>
      </c>
      <c r="I65" t="s">
        <v>37</v>
      </c>
      <c r="K65" t="s">
        <v>3873</v>
      </c>
      <c r="L65" t="str">
        <f t="shared" si="3"/>
        <v>dampener</v>
      </c>
    </row>
    <row r="66" spans="1:12" ht="29" x14ac:dyDescent="0.35">
      <c r="A66" t="s">
        <v>3860</v>
      </c>
      <c r="B66" t="s">
        <v>1227</v>
      </c>
      <c r="C66" t="str">
        <f t="shared" si="2"/>
        <v>modules/cybermancy/assets/icons/subclasses/stabilizing-influence.webp</v>
      </c>
      <c r="D66" t="s">
        <v>3859</v>
      </c>
      <c r="F66" s="4" t="s">
        <v>3859</v>
      </c>
      <c r="G66" t="s">
        <v>3860</v>
      </c>
      <c r="H66" t="s">
        <v>20</v>
      </c>
      <c r="I66" t="s">
        <v>37</v>
      </c>
      <c r="K66" t="s">
        <v>3873</v>
      </c>
      <c r="L66" t="str">
        <f t="shared" si="3"/>
        <v>stabilizing-influence</v>
      </c>
    </row>
    <row r="67" spans="1:12" x14ac:dyDescent="0.35">
      <c r="A67" t="s">
        <v>3866</v>
      </c>
      <c r="B67" t="s">
        <v>1227</v>
      </c>
      <c r="C67" t="str">
        <f t="shared" si="2"/>
        <v>modules/cybermancy/assets/icons/subclasses/harmonic-reversion.webp</v>
      </c>
      <c r="D67" t="s">
        <v>3861</v>
      </c>
      <c r="F67" s="4" t="s">
        <v>3861</v>
      </c>
      <c r="G67" t="s">
        <v>3866</v>
      </c>
      <c r="H67" t="s">
        <v>20</v>
      </c>
      <c r="I67" t="s">
        <v>37</v>
      </c>
      <c r="K67" t="s">
        <v>3873</v>
      </c>
      <c r="L67" t="str">
        <f t="shared" si="3"/>
        <v>harmonic-reversion</v>
      </c>
    </row>
    <row r="68" spans="1:12" ht="29" x14ac:dyDescent="0.35">
      <c r="A68" t="s">
        <v>3867</v>
      </c>
      <c r="B68" t="s">
        <v>1227</v>
      </c>
      <c r="C68" t="str">
        <f t="shared" si="2"/>
        <v>modules/cybermancy/assets/icons/subclasses/quantum-lattice.webp</v>
      </c>
      <c r="D68" t="s">
        <v>3862</v>
      </c>
      <c r="F68" s="4" t="s">
        <v>3862</v>
      </c>
      <c r="G68" t="s">
        <v>3867</v>
      </c>
      <c r="H68" t="s">
        <v>20</v>
      </c>
      <c r="I68" t="s">
        <v>37</v>
      </c>
      <c r="K68" t="s">
        <v>3873</v>
      </c>
      <c r="L68" t="str">
        <f t="shared" si="3"/>
        <v>quantum-lattice</v>
      </c>
    </row>
    <row r="69" spans="1:12" x14ac:dyDescent="0.35">
      <c r="A69" t="s">
        <v>3868</v>
      </c>
      <c r="B69" t="s">
        <v>1227</v>
      </c>
      <c r="C69" t="str">
        <f t="shared" si="2"/>
        <v>modules/cybermancy/assets/icons/subclasses/destructive-interference.webp</v>
      </c>
      <c r="D69" t="s">
        <v>3863</v>
      </c>
      <c r="F69" s="4" t="s">
        <v>3863</v>
      </c>
      <c r="G69" t="s">
        <v>3868</v>
      </c>
      <c r="H69" t="s">
        <v>20</v>
      </c>
      <c r="I69" t="s">
        <v>37</v>
      </c>
      <c r="K69" t="s">
        <v>3873</v>
      </c>
      <c r="L69" t="str">
        <f t="shared" si="3"/>
        <v>destructive-interference</v>
      </c>
    </row>
    <row r="70" spans="1:12" x14ac:dyDescent="0.35">
      <c r="A70" t="s">
        <v>3869</v>
      </c>
      <c r="B70" t="s">
        <v>1227</v>
      </c>
      <c r="C70" t="str">
        <f t="shared" si="2"/>
        <v>modules/cybermancy/assets/icons/subclasses/field-collapse.webp</v>
      </c>
      <c r="D70" t="s">
        <v>3864</v>
      </c>
      <c r="F70" s="4" t="s">
        <v>3864</v>
      </c>
      <c r="G70" t="s">
        <v>3869</v>
      </c>
      <c r="H70" t="s">
        <v>20</v>
      </c>
      <c r="I70" t="s">
        <v>37</v>
      </c>
      <c r="K70" t="s">
        <v>3873</v>
      </c>
      <c r="L70" t="str">
        <f t="shared" si="3"/>
        <v>field-collapse</v>
      </c>
    </row>
    <row r="71" spans="1:12" ht="43.5" x14ac:dyDescent="0.35">
      <c r="A71" t="s">
        <v>3870</v>
      </c>
      <c r="B71" t="s">
        <v>1227</v>
      </c>
      <c r="C71" t="str">
        <f t="shared" si="2"/>
        <v>modules/cybermancy/assets/icons/subclasses/stillpoint.webp</v>
      </c>
      <c r="D71" t="s">
        <v>3865</v>
      </c>
      <c r="F71" s="4" t="s">
        <v>3865</v>
      </c>
      <c r="G71" t="s">
        <v>3870</v>
      </c>
      <c r="H71" t="s">
        <v>20</v>
      </c>
      <c r="I71" t="s">
        <v>37</v>
      </c>
      <c r="K71" t="s">
        <v>3873</v>
      </c>
      <c r="L71" t="str">
        <f t="shared" si="3"/>
        <v>stillpoint</v>
      </c>
    </row>
  </sheetData>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8C63D-786F-48AD-B943-04AE296DBD85}">
  <dimension ref="A1:D7"/>
  <sheetViews>
    <sheetView workbookViewId="0">
      <selection activeCell="A8" sqref="A8"/>
    </sheetView>
  </sheetViews>
  <sheetFormatPr defaultRowHeight="14.5" x14ac:dyDescent="0.35"/>
  <cols>
    <col min="1" max="1" width="34.90625" customWidth="1"/>
    <col min="2" max="2" width="56.81640625" bestFit="1" customWidth="1"/>
  </cols>
  <sheetData>
    <row r="1" spans="1:4" x14ac:dyDescent="0.35">
      <c r="A1" t="s">
        <v>2489</v>
      </c>
      <c r="B1" t="s">
        <v>2490</v>
      </c>
      <c r="C1" t="s">
        <v>2491</v>
      </c>
      <c r="D1" t="s">
        <v>2492</v>
      </c>
    </row>
    <row r="2" spans="1:4" x14ac:dyDescent="0.35">
      <c r="A2" t="s">
        <v>2493</v>
      </c>
      <c r="B2" t="s">
        <v>2494</v>
      </c>
      <c r="C2">
        <v>1</v>
      </c>
      <c r="D2">
        <v>10</v>
      </c>
    </row>
    <row r="3" spans="1:4" x14ac:dyDescent="0.35">
      <c r="A3" t="s">
        <v>2495</v>
      </c>
      <c r="B3" t="s">
        <v>2496</v>
      </c>
      <c r="C3">
        <v>1</v>
      </c>
      <c r="D3">
        <v>10</v>
      </c>
    </row>
    <row r="4" spans="1:4" x14ac:dyDescent="0.35">
      <c r="A4" t="s">
        <v>2497</v>
      </c>
      <c r="B4" t="s">
        <v>2498</v>
      </c>
      <c r="C4">
        <v>1</v>
      </c>
      <c r="D4">
        <v>12</v>
      </c>
    </row>
    <row r="5" spans="1:4" x14ac:dyDescent="0.35">
      <c r="A5" t="s">
        <v>2499</v>
      </c>
      <c r="B5" t="s">
        <v>2500</v>
      </c>
      <c r="C5">
        <v>1</v>
      </c>
      <c r="D5">
        <v>10</v>
      </c>
    </row>
    <row r="6" spans="1:4" x14ac:dyDescent="0.35">
      <c r="A6" t="s">
        <v>2501</v>
      </c>
      <c r="B6" s="12" t="s">
        <v>2502</v>
      </c>
    </row>
    <row r="7" spans="1:4" x14ac:dyDescent="0.35">
      <c r="A7" t="s">
        <v>2503</v>
      </c>
      <c r="B7" t="s">
        <v>2504</v>
      </c>
      <c r="C7">
        <v>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52830-8D2F-4382-81BA-07482F749090}">
  <dimension ref="A1:U6"/>
  <sheetViews>
    <sheetView tabSelected="1" topLeftCell="E1" zoomScale="115" zoomScaleNormal="115" workbookViewId="0">
      <selection activeCell="T7" sqref="T7"/>
    </sheetView>
  </sheetViews>
  <sheetFormatPr defaultRowHeight="14.5" x14ac:dyDescent="0.35"/>
  <cols>
    <col min="1" max="1" width="23.90625" customWidth="1"/>
    <col min="3" max="3" width="19.90625" customWidth="1"/>
    <col min="4" max="4" width="26.1796875" customWidth="1"/>
    <col min="8" max="8" width="30.81640625" customWidth="1"/>
  </cols>
  <sheetData>
    <row r="1" spans="1:21" x14ac:dyDescent="0.35">
      <c r="A1" t="s">
        <v>0</v>
      </c>
      <c r="B1" t="s">
        <v>1</v>
      </c>
      <c r="C1" t="s">
        <v>2</v>
      </c>
      <c r="D1" t="s">
        <v>3</v>
      </c>
      <c r="E1" t="s">
        <v>3923</v>
      </c>
      <c r="F1" t="s">
        <v>4</v>
      </c>
      <c r="G1" t="s">
        <v>3911</v>
      </c>
      <c r="H1" t="s">
        <v>3912</v>
      </c>
      <c r="I1" t="s">
        <v>25</v>
      </c>
      <c r="J1" t="s">
        <v>42</v>
      </c>
      <c r="K1" t="s">
        <v>3913</v>
      </c>
      <c r="L1" t="s">
        <v>3917</v>
      </c>
      <c r="M1" t="s">
        <v>3914</v>
      </c>
      <c r="N1" t="s">
        <v>3915</v>
      </c>
      <c r="O1" t="s">
        <v>3918</v>
      </c>
      <c r="P1" t="s">
        <v>3919</v>
      </c>
      <c r="Q1" t="s">
        <v>3920</v>
      </c>
      <c r="R1" t="s">
        <v>3921</v>
      </c>
      <c r="S1" t="s">
        <v>3922</v>
      </c>
      <c r="T1" t="s">
        <v>3901</v>
      </c>
      <c r="U1" t="s">
        <v>3902</v>
      </c>
    </row>
    <row r="2" spans="1:21" x14ac:dyDescent="0.35">
      <c r="A2" t="s">
        <v>3903</v>
      </c>
      <c r="B2" t="s">
        <v>3909</v>
      </c>
      <c r="C2" t="str">
        <f>LOWER(SUBSTITUTE(A2, " ", "-"))</f>
        <v>choir-of-glass-knifer</v>
      </c>
      <c r="D2" t="s">
        <v>3904</v>
      </c>
      <c r="E2" t="s">
        <v>3910</v>
      </c>
      <c r="F2">
        <v>1</v>
      </c>
      <c r="H2" t="s">
        <v>3905</v>
      </c>
      <c r="I2">
        <v>5</v>
      </c>
      <c r="J2">
        <v>2</v>
      </c>
      <c r="K2">
        <v>11</v>
      </c>
      <c r="L2">
        <v>1</v>
      </c>
      <c r="M2">
        <v>7</v>
      </c>
      <c r="N2">
        <v>12</v>
      </c>
      <c r="O2" t="s">
        <v>3906</v>
      </c>
      <c r="P2" t="s">
        <v>3916</v>
      </c>
      <c r="Q2" t="s">
        <v>3948</v>
      </c>
      <c r="R2" t="s">
        <v>21</v>
      </c>
      <c r="S2" t="str">
        <f>LOWER(SUBSTITUTE(O2," ", "-"))</f>
        <v>stab</v>
      </c>
      <c r="T2" t="s">
        <v>3908</v>
      </c>
      <c r="U2">
        <v>2</v>
      </c>
    </row>
    <row r="3" spans="1:21" x14ac:dyDescent="0.35">
      <c r="A3" t="s">
        <v>3924</v>
      </c>
      <c r="B3" t="s">
        <v>3909</v>
      </c>
      <c r="C3" t="str">
        <f t="shared" ref="C3:C6" si="0">LOWER(SUBSTITUTE(A3, " ", "-"))</f>
        <v>glassmask-lookout</v>
      </c>
      <c r="D3" t="s">
        <v>3933</v>
      </c>
      <c r="E3" t="s">
        <v>3928</v>
      </c>
      <c r="F3">
        <v>1</v>
      </c>
      <c r="H3" t="s">
        <v>3932</v>
      </c>
      <c r="I3">
        <v>5</v>
      </c>
      <c r="J3">
        <v>2</v>
      </c>
      <c r="K3">
        <v>11</v>
      </c>
      <c r="L3">
        <v>1</v>
      </c>
      <c r="M3">
        <v>6</v>
      </c>
      <c r="N3">
        <v>11</v>
      </c>
      <c r="O3" t="s">
        <v>3940</v>
      </c>
      <c r="P3" t="s">
        <v>3944</v>
      </c>
      <c r="Q3" t="s">
        <v>3949</v>
      </c>
      <c r="R3" t="s">
        <v>1351</v>
      </c>
      <c r="S3" t="str">
        <f t="shared" ref="S3:S6" si="1">LOWER(SUBSTITUTE(O3," ", "-"))</f>
        <v>heavy-pistol</v>
      </c>
      <c r="T3" t="s">
        <v>3952</v>
      </c>
      <c r="U3">
        <v>2</v>
      </c>
    </row>
    <row r="4" spans="1:21" x14ac:dyDescent="0.35">
      <c r="A4" t="s">
        <v>3925</v>
      </c>
      <c r="B4" t="s">
        <v>3909</v>
      </c>
      <c r="C4" t="str">
        <f t="shared" si="0"/>
        <v>rave-enforcer</v>
      </c>
      <c r="D4" t="s">
        <v>3934</v>
      </c>
      <c r="E4" t="s">
        <v>3929</v>
      </c>
      <c r="F4">
        <v>1</v>
      </c>
      <c r="H4" t="s">
        <v>3938</v>
      </c>
      <c r="I4">
        <v>7</v>
      </c>
      <c r="J4">
        <v>3</v>
      </c>
      <c r="K4">
        <v>12</v>
      </c>
      <c r="L4">
        <v>2</v>
      </c>
      <c r="M4">
        <v>8</v>
      </c>
      <c r="N4">
        <v>14</v>
      </c>
      <c r="O4" t="s">
        <v>3941</v>
      </c>
      <c r="P4" t="s">
        <v>3945</v>
      </c>
      <c r="Q4" t="s">
        <v>3950</v>
      </c>
      <c r="R4" t="s">
        <v>21</v>
      </c>
      <c r="S4" t="str">
        <f t="shared" si="1"/>
        <v>crowbar</v>
      </c>
      <c r="T4" t="s">
        <v>3953</v>
      </c>
      <c r="U4">
        <v>3</v>
      </c>
    </row>
    <row r="5" spans="1:21" x14ac:dyDescent="0.35">
      <c r="A5" t="s">
        <v>3926</v>
      </c>
      <c r="B5" t="s">
        <v>3909</v>
      </c>
      <c r="C5" t="str">
        <f t="shared" si="0"/>
        <v>echo-runner</v>
      </c>
      <c r="D5" t="s">
        <v>3935</v>
      </c>
      <c r="E5" t="s">
        <v>3930</v>
      </c>
      <c r="F5">
        <v>1</v>
      </c>
      <c r="H5" t="s">
        <v>3939</v>
      </c>
      <c r="I5">
        <v>4</v>
      </c>
      <c r="J5">
        <v>2</v>
      </c>
      <c r="K5">
        <v>10</v>
      </c>
      <c r="L5">
        <v>1</v>
      </c>
      <c r="M5">
        <v>5</v>
      </c>
      <c r="N5">
        <v>10</v>
      </c>
      <c r="O5" t="s">
        <v>3942</v>
      </c>
      <c r="P5" t="s">
        <v>3946</v>
      </c>
      <c r="Q5" t="s">
        <v>3951</v>
      </c>
      <c r="R5" t="s">
        <v>1353</v>
      </c>
      <c r="S5" t="str">
        <f t="shared" si="1"/>
        <v>sonic-blast</v>
      </c>
      <c r="T5" t="s">
        <v>3954</v>
      </c>
      <c r="U5">
        <v>3</v>
      </c>
    </row>
    <row r="6" spans="1:21" x14ac:dyDescent="0.35">
      <c r="A6" t="s">
        <v>3927</v>
      </c>
      <c r="B6" t="s">
        <v>3909</v>
      </c>
      <c r="C6" t="str">
        <f t="shared" si="0"/>
        <v>pattern-touched-beggar</v>
      </c>
      <c r="D6" t="s">
        <v>3936</v>
      </c>
      <c r="E6" t="s">
        <v>3931</v>
      </c>
      <c r="F6">
        <v>1</v>
      </c>
      <c r="H6" t="s">
        <v>3937</v>
      </c>
      <c r="I6">
        <v>4</v>
      </c>
      <c r="J6">
        <v>4</v>
      </c>
      <c r="K6">
        <v>10</v>
      </c>
      <c r="L6">
        <v>1</v>
      </c>
      <c r="M6">
        <v>4</v>
      </c>
      <c r="N6">
        <v>9</v>
      </c>
      <c r="O6" t="s">
        <v>3943</v>
      </c>
      <c r="P6" t="s">
        <v>3947</v>
      </c>
      <c r="Q6" t="s">
        <v>3907</v>
      </c>
      <c r="R6" t="s">
        <v>1352</v>
      </c>
      <c r="S6" t="str">
        <f t="shared" si="1"/>
        <v>psychic-distrubance</v>
      </c>
      <c r="T6" t="s">
        <v>3955</v>
      </c>
      <c r="U6">
        <v>2</v>
      </c>
    </row>
  </sheetData>
  <pageMargins left="0.7" right="0.7" top="0.75" bottom="0.75" header="0.3" footer="0.3"/>
  <pageSetup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888BC-20E7-4294-8A2D-BD0A7B31655F}">
  <dimension ref="A1:E530"/>
  <sheetViews>
    <sheetView topLeftCell="A157" zoomScale="130" zoomScaleNormal="130" workbookViewId="0">
      <selection activeCell="E122" sqref="E122"/>
    </sheetView>
  </sheetViews>
  <sheetFormatPr defaultRowHeight="14.5" x14ac:dyDescent="0.35"/>
  <cols>
    <col min="1" max="1" width="16.26953125" customWidth="1"/>
    <col min="2" max="2" width="30.26953125" bestFit="1" customWidth="1"/>
    <col min="3" max="3" width="62.1796875" bestFit="1" customWidth="1"/>
    <col min="4" max="4" width="10.54296875" bestFit="1" customWidth="1"/>
    <col min="5" max="5" width="255.6328125" bestFit="1" customWidth="1"/>
  </cols>
  <sheetData>
    <row r="1" spans="1:5" x14ac:dyDescent="0.35">
      <c r="A1" s="1" t="s">
        <v>52</v>
      </c>
      <c r="B1" s="1" t="s">
        <v>53</v>
      </c>
      <c r="C1" s="1" t="s">
        <v>54</v>
      </c>
      <c r="D1" s="1" t="s">
        <v>55</v>
      </c>
      <c r="E1" s="1" t="s">
        <v>56</v>
      </c>
    </row>
    <row r="2" spans="1:5" x14ac:dyDescent="0.35">
      <c r="A2" t="s">
        <v>1224</v>
      </c>
      <c r="B2" t="s">
        <v>57</v>
      </c>
      <c r="C2" t="s">
        <v>58</v>
      </c>
      <c r="D2" t="s">
        <v>59</v>
      </c>
      <c r="E2" t="s">
        <v>60</v>
      </c>
    </row>
    <row r="3" spans="1:5" x14ac:dyDescent="0.35">
      <c r="A3" t="s">
        <v>1224</v>
      </c>
      <c r="B3" t="s">
        <v>61</v>
      </c>
      <c r="C3" t="s">
        <v>62</v>
      </c>
      <c r="D3" t="s">
        <v>20</v>
      </c>
      <c r="E3" t="s">
        <v>63</v>
      </c>
    </row>
    <row r="4" spans="1:5" x14ac:dyDescent="0.35">
      <c r="A4" t="s">
        <v>1224</v>
      </c>
      <c r="B4" t="s">
        <v>64</v>
      </c>
      <c r="C4" t="s">
        <v>65</v>
      </c>
      <c r="D4" t="s">
        <v>12</v>
      </c>
      <c r="E4" t="s">
        <v>66</v>
      </c>
    </row>
    <row r="5" spans="1:5" x14ac:dyDescent="0.35">
      <c r="A5" t="s">
        <v>1224</v>
      </c>
      <c r="B5" t="s">
        <v>67</v>
      </c>
      <c r="C5" t="s">
        <v>68</v>
      </c>
      <c r="D5" t="s">
        <v>20</v>
      </c>
      <c r="E5" t="s">
        <v>69</v>
      </c>
    </row>
    <row r="6" spans="1:5" x14ac:dyDescent="0.35">
      <c r="A6" t="s">
        <v>1224</v>
      </c>
      <c r="B6" t="s">
        <v>70</v>
      </c>
      <c r="C6" t="s">
        <v>71</v>
      </c>
      <c r="D6" t="s">
        <v>59</v>
      </c>
      <c r="E6" t="s">
        <v>72</v>
      </c>
    </row>
    <row r="7" spans="1:5" x14ac:dyDescent="0.35">
      <c r="A7" t="s">
        <v>1224</v>
      </c>
      <c r="B7" t="s">
        <v>73</v>
      </c>
      <c r="C7" t="s">
        <v>74</v>
      </c>
      <c r="D7" t="s">
        <v>59</v>
      </c>
      <c r="E7" t="s">
        <v>75</v>
      </c>
    </row>
    <row r="8" spans="1:5" x14ac:dyDescent="0.35">
      <c r="A8" t="s">
        <v>1224</v>
      </c>
      <c r="B8" t="s">
        <v>76</v>
      </c>
      <c r="C8" t="s">
        <v>77</v>
      </c>
      <c r="D8" t="s">
        <v>59</v>
      </c>
      <c r="E8" t="s">
        <v>78</v>
      </c>
    </row>
    <row r="9" spans="1:5" x14ac:dyDescent="0.35">
      <c r="A9" t="s">
        <v>1224</v>
      </c>
      <c r="B9" t="s">
        <v>79</v>
      </c>
      <c r="C9" t="s">
        <v>80</v>
      </c>
      <c r="D9" t="s">
        <v>59</v>
      </c>
      <c r="E9" t="s">
        <v>81</v>
      </c>
    </row>
    <row r="10" spans="1:5" x14ac:dyDescent="0.35">
      <c r="A10" t="s">
        <v>1224</v>
      </c>
      <c r="B10" t="s">
        <v>82</v>
      </c>
      <c r="C10" t="s">
        <v>83</v>
      </c>
      <c r="D10" t="s">
        <v>59</v>
      </c>
      <c r="E10" t="s">
        <v>84</v>
      </c>
    </row>
    <row r="11" spans="1:5" x14ac:dyDescent="0.35">
      <c r="A11" t="s">
        <v>1225</v>
      </c>
      <c r="B11" t="s">
        <v>86</v>
      </c>
      <c r="C11" t="s">
        <v>87</v>
      </c>
      <c r="D11" t="s">
        <v>59</v>
      </c>
      <c r="E11" t="s">
        <v>88</v>
      </c>
    </row>
    <row r="12" spans="1:5" x14ac:dyDescent="0.35">
      <c r="A12" t="s">
        <v>1225</v>
      </c>
      <c r="B12" t="s">
        <v>89</v>
      </c>
      <c r="C12" t="s">
        <v>90</v>
      </c>
      <c r="D12" t="s">
        <v>59</v>
      </c>
      <c r="E12" t="s">
        <v>91</v>
      </c>
    </row>
    <row r="13" spans="1:5" x14ac:dyDescent="0.35">
      <c r="A13" t="s">
        <v>1225</v>
      </c>
      <c r="B13" t="s">
        <v>92</v>
      </c>
      <c r="C13" t="s">
        <v>93</v>
      </c>
      <c r="D13" t="s">
        <v>59</v>
      </c>
      <c r="E13" t="s">
        <v>94</v>
      </c>
    </row>
    <row r="14" spans="1:5" x14ac:dyDescent="0.35">
      <c r="A14" t="s">
        <v>1225</v>
      </c>
      <c r="B14" t="s">
        <v>95</v>
      </c>
      <c r="C14" t="s">
        <v>96</v>
      </c>
      <c r="D14" t="s">
        <v>59</v>
      </c>
      <c r="E14" t="s">
        <v>97</v>
      </c>
    </row>
    <row r="15" spans="1:5" x14ac:dyDescent="0.35">
      <c r="A15" t="s">
        <v>1225</v>
      </c>
      <c r="B15" t="s">
        <v>98</v>
      </c>
      <c r="C15" t="s">
        <v>93</v>
      </c>
      <c r="D15" t="s">
        <v>59</v>
      </c>
      <c r="E15" t="s">
        <v>99</v>
      </c>
    </row>
    <row r="16" spans="1:5" x14ac:dyDescent="0.35">
      <c r="A16" t="s">
        <v>1225</v>
      </c>
      <c r="B16" t="s">
        <v>100</v>
      </c>
      <c r="C16" t="s">
        <v>93</v>
      </c>
      <c r="D16" t="s">
        <v>59</v>
      </c>
      <c r="E16" t="s">
        <v>101</v>
      </c>
    </row>
    <row r="17" spans="1:5" x14ac:dyDescent="0.35">
      <c r="A17" t="s">
        <v>1225</v>
      </c>
      <c r="B17" t="s">
        <v>102</v>
      </c>
      <c r="C17" t="s">
        <v>87</v>
      </c>
      <c r="D17" t="s">
        <v>59</v>
      </c>
      <c r="E17" t="s">
        <v>103</v>
      </c>
    </row>
    <row r="18" spans="1:5" x14ac:dyDescent="0.35">
      <c r="A18" t="s">
        <v>1225</v>
      </c>
      <c r="B18" t="s">
        <v>104</v>
      </c>
      <c r="C18" t="s">
        <v>105</v>
      </c>
      <c r="D18" t="s">
        <v>59</v>
      </c>
      <c r="E18" t="s">
        <v>106</v>
      </c>
    </row>
    <row r="19" spans="1:5" x14ac:dyDescent="0.35">
      <c r="A19" t="s">
        <v>1225</v>
      </c>
      <c r="B19" t="s">
        <v>107</v>
      </c>
      <c r="C19" t="s">
        <v>87</v>
      </c>
      <c r="D19" t="s">
        <v>59</v>
      </c>
      <c r="E19" t="s">
        <v>108</v>
      </c>
    </row>
    <row r="20" spans="1:5" x14ac:dyDescent="0.35">
      <c r="A20" t="s">
        <v>1225</v>
      </c>
      <c r="B20" t="s">
        <v>109</v>
      </c>
      <c r="C20" t="s">
        <v>93</v>
      </c>
      <c r="D20" t="s">
        <v>59</v>
      </c>
      <c r="E20" t="s">
        <v>110</v>
      </c>
    </row>
    <row r="21" spans="1:5" x14ac:dyDescent="0.35">
      <c r="A21" t="s">
        <v>1225</v>
      </c>
      <c r="B21" t="s">
        <v>111</v>
      </c>
      <c r="C21" t="s">
        <v>87</v>
      </c>
      <c r="D21" t="s">
        <v>59</v>
      </c>
      <c r="E21" t="s">
        <v>112</v>
      </c>
    </row>
    <row r="22" spans="1:5" x14ac:dyDescent="0.35">
      <c r="A22" t="s">
        <v>1225</v>
      </c>
      <c r="B22" t="s">
        <v>113</v>
      </c>
      <c r="C22" t="s">
        <v>93</v>
      </c>
      <c r="D22" t="s">
        <v>59</v>
      </c>
      <c r="E22" t="s">
        <v>114</v>
      </c>
    </row>
    <row r="23" spans="1:5" x14ac:dyDescent="0.35">
      <c r="A23" t="s">
        <v>1225</v>
      </c>
      <c r="B23" t="s">
        <v>115</v>
      </c>
      <c r="C23" t="s">
        <v>93</v>
      </c>
      <c r="D23" t="s">
        <v>59</v>
      </c>
      <c r="E23" t="s">
        <v>116</v>
      </c>
    </row>
    <row r="24" spans="1:5" x14ac:dyDescent="0.35">
      <c r="A24" t="s">
        <v>1225</v>
      </c>
      <c r="B24" t="s">
        <v>117</v>
      </c>
      <c r="C24" t="s">
        <v>93</v>
      </c>
      <c r="D24" t="s">
        <v>20</v>
      </c>
      <c r="E24" t="s">
        <v>118</v>
      </c>
    </row>
    <row r="25" spans="1:5" x14ac:dyDescent="0.35">
      <c r="A25" t="s">
        <v>1225</v>
      </c>
      <c r="B25" t="s">
        <v>119</v>
      </c>
      <c r="C25" t="s">
        <v>120</v>
      </c>
      <c r="D25" t="s">
        <v>12</v>
      </c>
      <c r="E25" t="s">
        <v>121</v>
      </c>
    </row>
    <row r="26" spans="1:5" x14ac:dyDescent="0.35">
      <c r="A26" t="s">
        <v>1225</v>
      </c>
      <c r="B26" t="s">
        <v>122</v>
      </c>
      <c r="C26" t="s">
        <v>93</v>
      </c>
      <c r="D26" t="s">
        <v>59</v>
      </c>
      <c r="E26" t="s">
        <v>123</v>
      </c>
    </row>
    <row r="27" spans="1:5" x14ac:dyDescent="0.35">
      <c r="A27" t="s">
        <v>1225</v>
      </c>
      <c r="B27" t="s">
        <v>124</v>
      </c>
      <c r="C27" t="s">
        <v>125</v>
      </c>
      <c r="D27" t="s">
        <v>30</v>
      </c>
      <c r="E27" t="s">
        <v>126</v>
      </c>
    </row>
    <row r="28" spans="1:5" x14ac:dyDescent="0.35">
      <c r="A28" t="s">
        <v>1225</v>
      </c>
      <c r="B28" t="s">
        <v>127</v>
      </c>
      <c r="C28" t="s">
        <v>87</v>
      </c>
      <c r="D28" t="s">
        <v>59</v>
      </c>
      <c r="E28" t="s">
        <v>128</v>
      </c>
    </row>
    <row r="29" spans="1:5" x14ac:dyDescent="0.35">
      <c r="A29" t="s">
        <v>1225</v>
      </c>
      <c r="B29" t="s">
        <v>129</v>
      </c>
      <c r="C29" t="s">
        <v>130</v>
      </c>
      <c r="D29" t="s">
        <v>59</v>
      </c>
      <c r="E29" t="s">
        <v>131</v>
      </c>
    </row>
    <row r="30" spans="1:5" x14ac:dyDescent="0.35">
      <c r="A30" t="s">
        <v>1225</v>
      </c>
      <c r="B30" t="s">
        <v>132</v>
      </c>
      <c r="C30" t="s">
        <v>130</v>
      </c>
      <c r="D30" t="s">
        <v>59</v>
      </c>
      <c r="E30" t="s">
        <v>133</v>
      </c>
    </row>
    <row r="31" spans="1:5" x14ac:dyDescent="0.35">
      <c r="A31" t="s">
        <v>1225</v>
      </c>
      <c r="B31" t="s">
        <v>134</v>
      </c>
      <c r="C31" t="s">
        <v>93</v>
      </c>
      <c r="D31" t="s">
        <v>59</v>
      </c>
      <c r="E31" t="s">
        <v>135</v>
      </c>
    </row>
    <row r="32" spans="1:5" x14ac:dyDescent="0.35">
      <c r="A32" t="s">
        <v>1225</v>
      </c>
      <c r="B32" t="s">
        <v>136</v>
      </c>
      <c r="C32" t="s">
        <v>93</v>
      </c>
      <c r="D32" t="s">
        <v>30</v>
      </c>
      <c r="E32" t="s">
        <v>137</v>
      </c>
    </row>
    <row r="33" spans="1:5" x14ac:dyDescent="0.35">
      <c r="A33" t="s">
        <v>1225</v>
      </c>
      <c r="B33" t="s">
        <v>138</v>
      </c>
      <c r="C33" t="s">
        <v>93</v>
      </c>
      <c r="D33" t="s">
        <v>59</v>
      </c>
      <c r="E33" t="s">
        <v>139</v>
      </c>
    </row>
    <row r="34" spans="1:5" x14ac:dyDescent="0.35">
      <c r="A34" t="s">
        <v>1225</v>
      </c>
      <c r="B34" t="s">
        <v>140</v>
      </c>
      <c r="C34" t="s">
        <v>87</v>
      </c>
      <c r="D34" t="s">
        <v>59</v>
      </c>
      <c r="E34" t="s">
        <v>141</v>
      </c>
    </row>
    <row r="35" spans="1:5" x14ac:dyDescent="0.35">
      <c r="A35" t="s">
        <v>1225</v>
      </c>
      <c r="B35" t="s">
        <v>142</v>
      </c>
      <c r="C35" t="s">
        <v>143</v>
      </c>
      <c r="D35" t="s">
        <v>20</v>
      </c>
      <c r="E35" t="s">
        <v>144</v>
      </c>
    </row>
    <row r="36" spans="1:5" x14ac:dyDescent="0.35">
      <c r="A36" t="s">
        <v>1225</v>
      </c>
      <c r="B36" t="s">
        <v>145</v>
      </c>
      <c r="C36" t="s">
        <v>130</v>
      </c>
      <c r="D36" t="s">
        <v>59</v>
      </c>
      <c r="E36" t="s">
        <v>146</v>
      </c>
    </row>
    <row r="37" spans="1:5" x14ac:dyDescent="0.35">
      <c r="A37" t="s">
        <v>1225</v>
      </c>
      <c r="B37" t="s">
        <v>147</v>
      </c>
      <c r="C37" t="s">
        <v>148</v>
      </c>
      <c r="D37" t="s">
        <v>12</v>
      </c>
      <c r="E37" t="s">
        <v>149</v>
      </c>
    </row>
    <row r="38" spans="1:5" x14ac:dyDescent="0.35">
      <c r="A38" t="s">
        <v>1225</v>
      </c>
      <c r="B38" t="s">
        <v>150</v>
      </c>
      <c r="C38" t="s">
        <v>125</v>
      </c>
      <c r="D38" t="s">
        <v>59</v>
      </c>
      <c r="E38" t="s">
        <v>151</v>
      </c>
    </row>
    <row r="39" spans="1:5" x14ac:dyDescent="0.35">
      <c r="A39" t="s">
        <v>1225</v>
      </c>
      <c r="B39" t="s">
        <v>152</v>
      </c>
      <c r="C39" t="s">
        <v>87</v>
      </c>
      <c r="D39" t="s">
        <v>59</v>
      </c>
      <c r="E39" t="s">
        <v>153</v>
      </c>
    </row>
    <row r="40" spans="1:5" x14ac:dyDescent="0.35">
      <c r="A40" t="s">
        <v>1225</v>
      </c>
      <c r="B40" t="s">
        <v>154</v>
      </c>
      <c r="C40" t="s">
        <v>143</v>
      </c>
      <c r="D40" t="s">
        <v>20</v>
      </c>
      <c r="E40" t="s">
        <v>155</v>
      </c>
    </row>
    <row r="41" spans="1:5" x14ac:dyDescent="0.35">
      <c r="A41" t="s">
        <v>1225</v>
      </c>
      <c r="B41" t="s">
        <v>156</v>
      </c>
      <c r="C41" t="s">
        <v>93</v>
      </c>
      <c r="D41" t="s">
        <v>59</v>
      </c>
      <c r="E41" t="s">
        <v>157</v>
      </c>
    </row>
    <row r="42" spans="1:5" x14ac:dyDescent="0.35">
      <c r="A42" t="s">
        <v>1225</v>
      </c>
      <c r="B42" t="s">
        <v>158</v>
      </c>
      <c r="C42" t="s">
        <v>93</v>
      </c>
      <c r="D42" t="s">
        <v>59</v>
      </c>
      <c r="E42" t="s">
        <v>159</v>
      </c>
    </row>
    <row r="43" spans="1:5" x14ac:dyDescent="0.35">
      <c r="A43" t="s">
        <v>1225</v>
      </c>
      <c r="B43" t="s">
        <v>160</v>
      </c>
      <c r="C43" t="s">
        <v>93</v>
      </c>
      <c r="D43" t="s">
        <v>59</v>
      </c>
      <c r="E43" t="s">
        <v>161</v>
      </c>
    </row>
    <row r="44" spans="1:5" x14ac:dyDescent="0.35">
      <c r="A44" t="s">
        <v>1225</v>
      </c>
      <c r="B44" t="s">
        <v>162</v>
      </c>
      <c r="C44" t="s">
        <v>93</v>
      </c>
      <c r="D44" t="s">
        <v>59</v>
      </c>
      <c r="E44" t="s">
        <v>163</v>
      </c>
    </row>
    <row r="45" spans="1:5" x14ac:dyDescent="0.35">
      <c r="A45" t="s">
        <v>1225</v>
      </c>
      <c r="B45" t="s">
        <v>164</v>
      </c>
      <c r="C45" t="s">
        <v>93</v>
      </c>
      <c r="D45" t="s">
        <v>59</v>
      </c>
      <c r="E45" t="s">
        <v>165</v>
      </c>
    </row>
    <row r="46" spans="1:5" x14ac:dyDescent="0.35">
      <c r="A46" t="s">
        <v>1225</v>
      </c>
      <c r="B46" t="s">
        <v>166</v>
      </c>
      <c r="C46" t="s">
        <v>93</v>
      </c>
      <c r="D46" t="s">
        <v>30</v>
      </c>
      <c r="E46" t="s">
        <v>167</v>
      </c>
    </row>
    <row r="47" spans="1:5" x14ac:dyDescent="0.35">
      <c r="A47" t="s">
        <v>1225</v>
      </c>
      <c r="B47" t="s">
        <v>168</v>
      </c>
      <c r="C47" t="s">
        <v>93</v>
      </c>
      <c r="D47" t="s">
        <v>30</v>
      </c>
      <c r="E47" t="s">
        <v>169</v>
      </c>
    </row>
    <row r="48" spans="1:5" x14ac:dyDescent="0.35">
      <c r="A48" t="s">
        <v>1225</v>
      </c>
      <c r="B48" t="s">
        <v>170</v>
      </c>
      <c r="C48" t="s">
        <v>93</v>
      </c>
      <c r="D48" t="s">
        <v>59</v>
      </c>
      <c r="E48" t="s">
        <v>171</v>
      </c>
    </row>
    <row r="49" spans="1:5" x14ac:dyDescent="0.35">
      <c r="A49" t="s">
        <v>1225</v>
      </c>
      <c r="B49" t="s">
        <v>172</v>
      </c>
      <c r="C49" t="s">
        <v>93</v>
      </c>
      <c r="D49" t="s">
        <v>30</v>
      </c>
      <c r="E49" t="s">
        <v>173</v>
      </c>
    </row>
    <row r="50" spans="1:5" x14ac:dyDescent="0.35">
      <c r="A50" t="s">
        <v>1225</v>
      </c>
      <c r="B50" t="s">
        <v>174</v>
      </c>
      <c r="C50" t="s">
        <v>93</v>
      </c>
      <c r="D50" t="s">
        <v>30</v>
      </c>
      <c r="E50" t="s">
        <v>175</v>
      </c>
    </row>
    <row r="51" spans="1:5" x14ac:dyDescent="0.35">
      <c r="A51" t="s">
        <v>1225</v>
      </c>
      <c r="B51" t="s">
        <v>176</v>
      </c>
      <c r="C51" t="s">
        <v>87</v>
      </c>
      <c r="D51" t="s">
        <v>59</v>
      </c>
      <c r="E51" t="s">
        <v>177</v>
      </c>
    </row>
    <row r="52" spans="1:5" x14ac:dyDescent="0.35">
      <c r="A52" t="s">
        <v>1225</v>
      </c>
      <c r="B52" t="s">
        <v>178</v>
      </c>
      <c r="C52" t="s">
        <v>87</v>
      </c>
      <c r="D52" t="s">
        <v>59</v>
      </c>
      <c r="E52" t="s">
        <v>179</v>
      </c>
    </row>
    <row r="53" spans="1:5" x14ac:dyDescent="0.35">
      <c r="A53" t="s">
        <v>1225</v>
      </c>
      <c r="B53" t="s">
        <v>180</v>
      </c>
      <c r="C53" t="s">
        <v>87</v>
      </c>
      <c r="D53" t="s">
        <v>59</v>
      </c>
      <c r="E53" t="s">
        <v>181</v>
      </c>
    </row>
    <row r="54" spans="1:5" x14ac:dyDescent="0.35">
      <c r="A54" t="s">
        <v>1225</v>
      </c>
      <c r="B54" t="s">
        <v>182</v>
      </c>
      <c r="C54" t="s">
        <v>87</v>
      </c>
      <c r="D54" t="s">
        <v>59</v>
      </c>
      <c r="E54" t="s">
        <v>183</v>
      </c>
    </row>
    <row r="55" spans="1:5" x14ac:dyDescent="0.35">
      <c r="A55" t="s">
        <v>1225</v>
      </c>
      <c r="B55" t="s">
        <v>184</v>
      </c>
      <c r="C55" t="s">
        <v>93</v>
      </c>
      <c r="D55" t="s">
        <v>59</v>
      </c>
      <c r="E55" t="s">
        <v>185</v>
      </c>
    </row>
    <row r="56" spans="1:5" x14ac:dyDescent="0.35">
      <c r="A56" t="s">
        <v>1225</v>
      </c>
      <c r="B56" t="s">
        <v>186</v>
      </c>
      <c r="C56" t="s">
        <v>130</v>
      </c>
      <c r="D56" t="s">
        <v>59</v>
      </c>
      <c r="E56" t="s">
        <v>187</v>
      </c>
    </row>
    <row r="57" spans="1:5" x14ac:dyDescent="0.35">
      <c r="A57" t="s">
        <v>1225</v>
      </c>
      <c r="B57" t="s">
        <v>188</v>
      </c>
      <c r="C57" t="s">
        <v>87</v>
      </c>
      <c r="D57" t="s">
        <v>59</v>
      </c>
      <c r="E57" t="s">
        <v>189</v>
      </c>
    </row>
    <row r="58" spans="1:5" x14ac:dyDescent="0.35">
      <c r="A58" t="s">
        <v>1225</v>
      </c>
      <c r="B58" t="s">
        <v>190</v>
      </c>
      <c r="C58" t="s">
        <v>93</v>
      </c>
      <c r="D58" t="s">
        <v>59</v>
      </c>
      <c r="E58" t="s">
        <v>191</v>
      </c>
    </row>
    <row r="59" spans="1:5" x14ac:dyDescent="0.35">
      <c r="A59" t="s">
        <v>1225</v>
      </c>
      <c r="B59" t="s">
        <v>192</v>
      </c>
      <c r="C59" t="s">
        <v>193</v>
      </c>
      <c r="D59" t="s">
        <v>30</v>
      </c>
      <c r="E59" t="s">
        <v>194</v>
      </c>
    </row>
    <row r="60" spans="1:5" x14ac:dyDescent="0.35">
      <c r="A60" t="s">
        <v>1225</v>
      </c>
      <c r="B60" t="s">
        <v>195</v>
      </c>
      <c r="C60" t="s">
        <v>196</v>
      </c>
      <c r="D60" t="s">
        <v>30</v>
      </c>
      <c r="E60" t="s">
        <v>197</v>
      </c>
    </row>
    <row r="61" spans="1:5" x14ac:dyDescent="0.35">
      <c r="A61" t="s">
        <v>1225</v>
      </c>
      <c r="B61" t="s">
        <v>198</v>
      </c>
      <c r="C61" t="s">
        <v>93</v>
      </c>
      <c r="D61" t="s">
        <v>30</v>
      </c>
      <c r="E61" t="s">
        <v>199</v>
      </c>
    </row>
    <row r="62" spans="1:5" x14ac:dyDescent="0.35">
      <c r="A62" t="s">
        <v>1225</v>
      </c>
      <c r="B62" t="s">
        <v>200</v>
      </c>
      <c r="C62" t="s">
        <v>87</v>
      </c>
      <c r="D62" t="s">
        <v>12</v>
      </c>
      <c r="E62" t="s">
        <v>201</v>
      </c>
    </row>
    <row r="63" spans="1:5" x14ac:dyDescent="0.35">
      <c r="A63" t="s">
        <v>1225</v>
      </c>
      <c r="B63" t="s">
        <v>202</v>
      </c>
      <c r="C63" t="s">
        <v>93</v>
      </c>
      <c r="D63" t="s">
        <v>59</v>
      </c>
      <c r="E63" t="s">
        <v>203</v>
      </c>
    </row>
    <row r="64" spans="1:5" x14ac:dyDescent="0.35">
      <c r="A64" t="s">
        <v>1225</v>
      </c>
      <c r="B64" t="s">
        <v>204</v>
      </c>
      <c r="C64" t="s">
        <v>120</v>
      </c>
      <c r="D64" t="s">
        <v>20</v>
      </c>
      <c r="E64" t="s">
        <v>205</v>
      </c>
    </row>
    <row r="65" spans="1:5" x14ac:dyDescent="0.35">
      <c r="A65" t="s">
        <v>1225</v>
      </c>
      <c r="B65" t="s">
        <v>206</v>
      </c>
      <c r="C65" t="s">
        <v>207</v>
      </c>
      <c r="D65" t="s">
        <v>30</v>
      </c>
      <c r="E65" t="s">
        <v>208</v>
      </c>
    </row>
    <row r="66" spans="1:5" x14ac:dyDescent="0.35">
      <c r="A66" t="s">
        <v>1225</v>
      </c>
      <c r="B66" t="s">
        <v>206</v>
      </c>
      <c r="C66" t="s">
        <v>209</v>
      </c>
      <c r="D66" t="s">
        <v>30</v>
      </c>
      <c r="E66" t="s">
        <v>210</v>
      </c>
    </row>
    <row r="67" spans="1:5" x14ac:dyDescent="0.35">
      <c r="A67" t="s">
        <v>1225</v>
      </c>
      <c r="B67" t="s">
        <v>211</v>
      </c>
      <c r="C67" t="s">
        <v>143</v>
      </c>
      <c r="D67" t="s">
        <v>20</v>
      </c>
      <c r="E67" t="s">
        <v>212</v>
      </c>
    </row>
    <row r="68" spans="1:5" x14ac:dyDescent="0.35">
      <c r="A68" t="s">
        <v>1225</v>
      </c>
      <c r="B68" t="s">
        <v>213</v>
      </c>
      <c r="C68" t="s">
        <v>125</v>
      </c>
      <c r="D68" t="s">
        <v>30</v>
      </c>
      <c r="E68" t="s">
        <v>214</v>
      </c>
    </row>
    <row r="69" spans="1:5" x14ac:dyDescent="0.35">
      <c r="A69" t="s">
        <v>1225</v>
      </c>
      <c r="B69" t="s">
        <v>215</v>
      </c>
      <c r="C69" t="s">
        <v>87</v>
      </c>
      <c r="D69" t="s">
        <v>59</v>
      </c>
      <c r="E69" t="s">
        <v>216</v>
      </c>
    </row>
    <row r="70" spans="1:5" x14ac:dyDescent="0.35">
      <c r="A70" t="s">
        <v>1225</v>
      </c>
      <c r="B70" t="s">
        <v>217</v>
      </c>
      <c r="C70" t="s">
        <v>93</v>
      </c>
      <c r="D70" t="s">
        <v>59</v>
      </c>
      <c r="E70" t="s">
        <v>218</v>
      </c>
    </row>
    <row r="71" spans="1:5" x14ac:dyDescent="0.35">
      <c r="A71" t="s">
        <v>1225</v>
      </c>
      <c r="B71" t="s">
        <v>219</v>
      </c>
      <c r="C71" t="s">
        <v>87</v>
      </c>
      <c r="D71" t="s">
        <v>59</v>
      </c>
      <c r="E71" t="s">
        <v>220</v>
      </c>
    </row>
    <row r="72" spans="1:5" x14ac:dyDescent="0.35">
      <c r="A72" t="s">
        <v>1226</v>
      </c>
      <c r="B72" t="s">
        <v>221</v>
      </c>
      <c r="C72" t="s">
        <v>222</v>
      </c>
      <c r="D72" t="s">
        <v>30</v>
      </c>
      <c r="E72" t="s">
        <v>223</v>
      </c>
    </row>
    <row r="73" spans="1:5" x14ac:dyDescent="0.35">
      <c r="A73" t="s">
        <v>1226</v>
      </c>
      <c r="B73" t="s">
        <v>224</v>
      </c>
      <c r="C73" t="s">
        <v>225</v>
      </c>
      <c r="D73" t="s">
        <v>59</v>
      </c>
      <c r="E73" t="s">
        <v>226</v>
      </c>
    </row>
    <row r="74" spans="1:5" x14ac:dyDescent="0.35">
      <c r="A74" t="s">
        <v>1226</v>
      </c>
      <c r="B74" t="s">
        <v>227</v>
      </c>
      <c r="C74" t="s">
        <v>228</v>
      </c>
      <c r="D74" t="s">
        <v>59</v>
      </c>
      <c r="E74" t="s">
        <v>229</v>
      </c>
    </row>
    <row r="75" spans="1:5" x14ac:dyDescent="0.35">
      <c r="A75" t="s">
        <v>1226</v>
      </c>
      <c r="B75" t="s">
        <v>230</v>
      </c>
      <c r="C75" t="s">
        <v>231</v>
      </c>
      <c r="D75" t="s">
        <v>20</v>
      </c>
      <c r="E75" t="s">
        <v>232</v>
      </c>
    </row>
    <row r="76" spans="1:5" x14ac:dyDescent="0.35">
      <c r="A76" t="s">
        <v>1226</v>
      </c>
      <c r="B76" t="s">
        <v>233</v>
      </c>
      <c r="C76" t="s">
        <v>234</v>
      </c>
      <c r="D76" t="s">
        <v>30</v>
      </c>
      <c r="E76" t="s">
        <v>235</v>
      </c>
    </row>
    <row r="77" spans="1:5" x14ac:dyDescent="0.35">
      <c r="A77" t="s">
        <v>1226</v>
      </c>
      <c r="B77" t="s">
        <v>236</v>
      </c>
      <c r="C77" t="s">
        <v>237</v>
      </c>
      <c r="D77" t="s">
        <v>59</v>
      </c>
      <c r="E77" t="s">
        <v>238</v>
      </c>
    </row>
    <row r="78" spans="1:5" x14ac:dyDescent="0.35">
      <c r="A78" t="s">
        <v>1226</v>
      </c>
      <c r="B78" t="s">
        <v>239</v>
      </c>
      <c r="C78" t="s">
        <v>240</v>
      </c>
      <c r="D78" t="s">
        <v>20</v>
      </c>
      <c r="E78" t="s">
        <v>241</v>
      </c>
    </row>
    <row r="79" spans="1:5" x14ac:dyDescent="0.35">
      <c r="A79" t="s">
        <v>1226</v>
      </c>
      <c r="B79" t="s">
        <v>242</v>
      </c>
      <c r="C79" t="s">
        <v>243</v>
      </c>
      <c r="D79" t="s">
        <v>30</v>
      </c>
      <c r="E79" t="s">
        <v>244</v>
      </c>
    </row>
    <row r="80" spans="1:5" x14ac:dyDescent="0.35">
      <c r="A80" t="s">
        <v>1226</v>
      </c>
      <c r="B80" t="s">
        <v>245</v>
      </c>
      <c r="C80" t="s">
        <v>246</v>
      </c>
      <c r="D80" t="s">
        <v>30</v>
      </c>
      <c r="E80" t="s">
        <v>247</v>
      </c>
    </row>
    <row r="81" spans="1:5" x14ac:dyDescent="0.35">
      <c r="A81" t="s">
        <v>1226</v>
      </c>
      <c r="B81" t="s">
        <v>248</v>
      </c>
      <c r="C81" t="s">
        <v>249</v>
      </c>
      <c r="D81" t="s">
        <v>59</v>
      </c>
      <c r="E81" t="s">
        <v>250</v>
      </c>
    </row>
    <row r="82" spans="1:5" x14ac:dyDescent="0.35">
      <c r="A82" t="s">
        <v>1226</v>
      </c>
      <c r="B82" t="s">
        <v>251</v>
      </c>
      <c r="C82" t="s">
        <v>252</v>
      </c>
      <c r="D82" t="s">
        <v>20</v>
      </c>
      <c r="E82" t="s">
        <v>253</v>
      </c>
    </row>
    <row r="83" spans="1:5" x14ac:dyDescent="0.35">
      <c r="A83" t="s">
        <v>1226</v>
      </c>
      <c r="B83" t="s">
        <v>254</v>
      </c>
      <c r="C83" t="s">
        <v>255</v>
      </c>
      <c r="D83" t="s">
        <v>59</v>
      </c>
      <c r="E83" t="s">
        <v>256</v>
      </c>
    </row>
    <row r="84" spans="1:5" x14ac:dyDescent="0.35">
      <c r="A84" t="s">
        <v>1226</v>
      </c>
      <c r="B84" t="s">
        <v>254</v>
      </c>
      <c r="C84" t="s">
        <v>225</v>
      </c>
      <c r="D84" t="s">
        <v>59</v>
      </c>
      <c r="E84" t="s">
        <v>257</v>
      </c>
    </row>
    <row r="85" spans="1:5" x14ac:dyDescent="0.35">
      <c r="A85" t="s">
        <v>1226</v>
      </c>
      <c r="B85" t="s">
        <v>258</v>
      </c>
      <c r="C85" t="s">
        <v>259</v>
      </c>
      <c r="D85" t="s">
        <v>20</v>
      </c>
      <c r="E85" t="s">
        <v>260</v>
      </c>
    </row>
    <row r="86" spans="1:5" x14ac:dyDescent="0.35">
      <c r="A86" t="s">
        <v>1226</v>
      </c>
      <c r="B86" t="s">
        <v>261</v>
      </c>
      <c r="C86" t="s">
        <v>225</v>
      </c>
      <c r="D86" t="s">
        <v>59</v>
      </c>
      <c r="E86" t="s">
        <v>262</v>
      </c>
    </row>
    <row r="87" spans="1:5" x14ac:dyDescent="0.35">
      <c r="A87" t="s">
        <v>1226</v>
      </c>
      <c r="B87" t="s">
        <v>263</v>
      </c>
      <c r="C87" t="s">
        <v>264</v>
      </c>
      <c r="D87" t="s">
        <v>20</v>
      </c>
      <c r="E87" t="s">
        <v>265</v>
      </c>
    </row>
    <row r="88" spans="1:5" x14ac:dyDescent="0.35">
      <c r="A88" t="s">
        <v>1226</v>
      </c>
      <c r="B88" t="s">
        <v>263</v>
      </c>
      <c r="C88" t="s">
        <v>266</v>
      </c>
      <c r="D88" t="s">
        <v>20</v>
      </c>
      <c r="E88" t="s">
        <v>265</v>
      </c>
    </row>
    <row r="89" spans="1:5" x14ac:dyDescent="0.35">
      <c r="A89" t="s">
        <v>1226</v>
      </c>
      <c r="B89" t="s">
        <v>263</v>
      </c>
      <c r="C89" t="s">
        <v>267</v>
      </c>
      <c r="D89" t="s">
        <v>20</v>
      </c>
      <c r="E89" t="s">
        <v>268</v>
      </c>
    </row>
    <row r="90" spans="1:5" x14ac:dyDescent="0.35">
      <c r="A90" t="s">
        <v>1226</v>
      </c>
      <c r="B90" t="s">
        <v>263</v>
      </c>
      <c r="C90" t="s">
        <v>269</v>
      </c>
      <c r="D90" t="s">
        <v>59</v>
      </c>
      <c r="E90" t="s">
        <v>270</v>
      </c>
    </row>
    <row r="91" spans="1:5" x14ac:dyDescent="0.35">
      <c r="A91" t="s">
        <v>1226</v>
      </c>
      <c r="B91" t="s">
        <v>271</v>
      </c>
      <c r="C91" t="s">
        <v>272</v>
      </c>
      <c r="D91" t="s">
        <v>20</v>
      </c>
      <c r="E91" t="s">
        <v>273</v>
      </c>
    </row>
    <row r="92" spans="1:5" x14ac:dyDescent="0.35">
      <c r="A92" t="s">
        <v>1226</v>
      </c>
      <c r="B92" t="s">
        <v>271</v>
      </c>
      <c r="C92" t="s">
        <v>274</v>
      </c>
      <c r="D92" t="s">
        <v>59</v>
      </c>
      <c r="E92" t="s">
        <v>275</v>
      </c>
    </row>
    <row r="93" spans="1:5" x14ac:dyDescent="0.35">
      <c r="A93" t="s">
        <v>1226</v>
      </c>
      <c r="B93" t="s">
        <v>271</v>
      </c>
      <c r="C93" t="s">
        <v>276</v>
      </c>
      <c r="D93" t="s">
        <v>20</v>
      </c>
      <c r="E93" t="s">
        <v>277</v>
      </c>
    </row>
    <row r="94" spans="1:5" x14ac:dyDescent="0.35">
      <c r="A94" t="s">
        <v>1226</v>
      </c>
      <c r="B94" t="s">
        <v>278</v>
      </c>
      <c r="C94" t="s">
        <v>279</v>
      </c>
      <c r="D94" t="s">
        <v>59</v>
      </c>
      <c r="E94" t="s">
        <v>280</v>
      </c>
    </row>
    <row r="95" spans="1:5" x14ac:dyDescent="0.35">
      <c r="A95" t="s">
        <v>1226</v>
      </c>
      <c r="B95" t="s">
        <v>278</v>
      </c>
      <c r="C95" t="s">
        <v>281</v>
      </c>
      <c r="D95" t="s">
        <v>59</v>
      </c>
      <c r="E95" t="s">
        <v>282</v>
      </c>
    </row>
    <row r="96" spans="1:5" x14ac:dyDescent="0.35">
      <c r="A96" t="s">
        <v>1226</v>
      </c>
      <c r="B96" t="s">
        <v>278</v>
      </c>
      <c r="C96" t="s">
        <v>283</v>
      </c>
      <c r="D96" t="s">
        <v>20</v>
      </c>
      <c r="E96" t="s">
        <v>284</v>
      </c>
    </row>
    <row r="97" spans="1:5" x14ac:dyDescent="0.35">
      <c r="A97" t="s">
        <v>1226</v>
      </c>
      <c r="B97" t="s">
        <v>285</v>
      </c>
      <c r="C97" t="s">
        <v>286</v>
      </c>
      <c r="D97" t="s">
        <v>20</v>
      </c>
      <c r="E97" t="s">
        <v>287</v>
      </c>
    </row>
    <row r="98" spans="1:5" x14ac:dyDescent="0.35">
      <c r="A98" t="s">
        <v>1226</v>
      </c>
      <c r="B98" t="s">
        <v>285</v>
      </c>
      <c r="C98" t="s">
        <v>288</v>
      </c>
      <c r="D98" t="s">
        <v>20</v>
      </c>
      <c r="E98" t="s">
        <v>289</v>
      </c>
    </row>
    <row r="99" spans="1:5" x14ac:dyDescent="0.35">
      <c r="A99" t="s">
        <v>1226</v>
      </c>
      <c r="B99" t="s">
        <v>290</v>
      </c>
      <c r="C99" t="s">
        <v>291</v>
      </c>
      <c r="D99" t="s">
        <v>12</v>
      </c>
      <c r="E99" t="s">
        <v>292</v>
      </c>
    </row>
    <row r="100" spans="1:5" x14ac:dyDescent="0.35">
      <c r="A100" t="s">
        <v>1226</v>
      </c>
      <c r="B100" t="s">
        <v>290</v>
      </c>
      <c r="C100" t="s">
        <v>293</v>
      </c>
      <c r="D100" t="s">
        <v>20</v>
      </c>
      <c r="E100" t="s">
        <v>294</v>
      </c>
    </row>
    <row r="101" spans="1:5" x14ac:dyDescent="0.35">
      <c r="A101" t="s">
        <v>1226</v>
      </c>
      <c r="B101" t="s">
        <v>290</v>
      </c>
      <c r="C101" t="s">
        <v>295</v>
      </c>
      <c r="D101" t="s">
        <v>59</v>
      </c>
      <c r="E101" t="s">
        <v>296</v>
      </c>
    </row>
    <row r="102" spans="1:5" x14ac:dyDescent="0.35">
      <c r="A102" t="s">
        <v>1226</v>
      </c>
      <c r="B102" t="s">
        <v>297</v>
      </c>
      <c r="C102" t="s">
        <v>298</v>
      </c>
      <c r="D102" t="s">
        <v>20</v>
      </c>
      <c r="E102" t="s">
        <v>299</v>
      </c>
    </row>
    <row r="103" spans="1:5" x14ac:dyDescent="0.35">
      <c r="A103" t="s">
        <v>1226</v>
      </c>
      <c r="B103" t="s">
        <v>297</v>
      </c>
      <c r="C103" t="s">
        <v>300</v>
      </c>
      <c r="D103" t="s">
        <v>20</v>
      </c>
      <c r="E103" t="s">
        <v>301</v>
      </c>
    </row>
    <row r="104" spans="1:5" x14ac:dyDescent="0.35">
      <c r="A104" t="s">
        <v>1226</v>
      </c>
      <c r="B104" t="s">
        <v>297</v>
      </c>
      <c r="C104" t="s">
        <v>302</v>
      </c>
      <c r="D104" t="s">
        <v>12</v>
      </c>
      <c r="E104" t="s">
        <v>303</v>
      </c>
    </row>
    <row r="105" spans="1:5" x14ac:dyDescent="0.35">
      <c r="A105" t="s">
        <v>1226</v>
      </c>
      <c r="B105" t="s">
        <v>304</v>
      </c>
      <c r="C105" t="s">
        <v>305</v>
      </c>
      <c r="D105" t="s">
        <v>20</v>
      </c>
      <c r="E105" t="s">
        <v>306</v>
      </c>
    </row>
    <row r="106" spans="1:5" x14ac:dyDescent="0.35">
      <c r="A106" t="s">
        <v>1226</v>
      </c>
      <c r="B106" t="s">
        <v>304</v>
      </c>
      <c r="C106" t="s">
        <v>307</v>
      </c>
      <c r="D106" t="s">
        <v>20</v>
      </c>
      <c r="E106" t="s">
        <v>308</v>
      </c>
    </row>
    <row r="107" spans="1:5" x14ac:dyDescent="0.35">
      <c r="A107" t="s">
        <v>1226</v>
      </c>
      <c r="B107" t="s">
        <v>309</v>
      </c>
      <c r="C107" t="s">
        <v>310</v>
      </c>
      <c r="D107" t="s">
        <v>20</v>
      </c>
      <c r="E107" t="s">
        <v>311</v>
      </c>
    </row>
    <row r="108" spans="1:5" x14ac:dyDescent="0.35">
      <c r="A108" t="s">
        <v>1226</v>
      </c>
      <c r="B108" t="s">
        <v>309</v>
      </c>
      <c r="C108" t="s">
        <v>312</v>
      </c>
      <c r="D108" t="s">
        <v>20</v>
      </c>
      <c r="E108" t="s">
        <v>313</v>
      </c>
    </row>
    <row r="109" spans="1:5" x14ac:dyDescent="0.35">
      <c r="A109" t="s">
        <v>1226</v>
      </c>
      <c r="B109" t="s">
        <v>314</v>
      </c>
      <c r="C109" t="s">
        <v>315</v>
      </c>
      <c r="D109" t="s">
        <v>59</v>
      </c>
      <c r="E109" t="s">
        <v>316</v>
      </c>
    </row>
    <row r="110" spans="1:5" x14ac:dyDescent="0.35">
      <c r="A110" t="s">
        <v>1226</v>
      </c>
      <c r="B110" t="s">
        <v>314</v>
      </c>
      <c r="C110" t="s">
        <v>317</v>
      </c>
      <c r="D110" t="s">
        <v>20</v>
      </c>
      <c r="E110" t="s">
        <v>318</v>
      </c>
    </row>
    <row r="111" spans="1:5" x14ac:dyDescent="0.35">
      <c r="A111" t="s">
        <v>1226</v>
      </c>
      <c r="B111" t="s">
        <v>314</v>
      </c>
      <c r="C111" t="s">
        <v>319</v>
      </c>
      <c r="D111" t="s">
        <v>59</v>
      </c>
      <c r="E111" t="s">
        <v>320</v>
      </c>
    </row>
    <row r="112" spans="1:5" x14ac:dyDescent="0.35">
      <c r="A112" t="s">
        <v>1226</v>
      </c>
      <c r="B112" t="s">
        <v>321</v>
      </c>
      <c r="C112" t="s">
        <v>322</v>
      </c>
      <c r="D112" t="s">
        <v>59</v>
      </c>
      <c r="E112" t="s">
        <v>323</v>
      </c>
    </row>
    <row r="113" spans="1:5" x14ac:dyDescent="0.35">
      <c r="A113" t="s">
        <v>1226</v>
      </c>
      <c r="B113" t="s">
        <v>321</v>
      </c>
      <c r="C113" t="s">
        <v>324</v>
      </c>
      <c r="D113" t="s">
        <v>20</v>
      </c>
      <c r="E113" t="s">
        <v>325</v>
      </c>
    </row>
    <row r="114" spans="1:5" x14ac:dyDescent="0.35">
      <c r="A114" t="s">
        <v>1226</v>
      </c>
      <c r="B114" t="s">
        <v>321</v>
      </c>
      <c r="C114" t="s">
        <v>326</v>
      </c>
      <c r="D114" t="s">
        <v>20</v>
      </c>
      <c r="E114" t="s">
        <v>327</v>
      </c>
    </row>
    <row r="115" spans="1:5" x14ac:dyDescent="0.35">
      <c r="A115" t="s">
        <v>1226</v>
      </c>
      <c r="B115" t="s">
        <v>328</v>
      </c>
      <c r="C115" t="s">
        <v>329</v>
      </c>
      <c r="D115" t="s">
        <v>20</v>
      </c>
      <c r="E115" t="s">
        <v>330</v>
      </c>
    </row>
    <row r="116" spans="1:5" x14ac:dyDescent="0.35">
      <c r="A116" t="s">
        <v>1226</v>
      </c>
      <c r="B116" t="s">
        <v>328</v>
      </c>
      <c r="C116" t="s">
        <v>331</v>
      </c>
      <c r="D116" t="s">
        <v>20</v>
      </c>
      <c r="E116" t="s">
        <v>332</v>
      </c>
    </row>
    <row r="117" spans="1:5" x14ac:dyDescent="0.35">
      <c r="A117" t="s">
        <v>1226</v>
      </c>
      <c r="B117" t="s">
        <v>328</v>
      </c>
      <c r="C117" t="s">
        <v>333</v>
      </c>
      <c r="D117" t="s">
        <v>20</v>
      </c>
      <c r="E117" t="s">
        <v>334</v>
      </c>
    </row>
    <row r="118" spans="1:5" x14ac:dyDescent="0.35">
      <c r="A118" t="s">
        <v>1226</v>
      </c>
      <c r="B118" t="s">
        <v>335</v>
      </c>
      <c r="C118" t="s">
        <v>336</v>
      </c>
      <c r="D118" t="s">
        <v>20</v>
      </c>
      <c r="E118" t="s">
        <v>337</v>
      </c>
    </row>
    <row r="119" spans="1:5" x14ac:dyDescent="0.35">
      <c r="A119" t="s">
        <v>1226</v>
      </c>
      <c r="B119" t="s">
        <v>335</v>
      </c>
      <c r="C119" t="s">
        <v>338</v>
      </c>
      <c r="D119" t="s">
        <v>59</v>
      </c>
      <c r="E119" t="s">
        <v>339</v>
      </c>
    </row>
    <row r="120" spans="1:5" x14ac:dyDescent="0.35">
      <c r="A120" t="s">
        <v>1226</v>
      </c>
      <c r="B120" t="s">
        <v>340</v>
      </c>
      <c r="C120" t="s">
        <v>341</v>
      </c>
      <c r="D120" t="s">
        <v>59</v>
      </c>
      <c r="E120" t="s">
        <v>342</v>
      </c>
    </row>
    <row r="121" spans="1:5" x14ac:dyDescent="0.35">
      <c r="A121" t="s">
        <v>1226</v>
      </c>
      <c r="B121" t="s">
        <v>340</v>
      </c>
      <c r="C121" t="s">
        <v>343</v>
      </c>
      <c r="D121" t="s">
        <v>20</v>
      </c>
      <c r="E121" t="s">
        <v>344</v>
      </c>
    </row>
    <row r="122" spans="1:5" x14ac:dyDescent="0.35">
      <c r="A122" t="s">
        <v>1226</v>
      </c>
      <c r="B122" t="s">
        <v>345</v>
      </c>
      <c r="C122" t="s">
        <v>346</v>
      </c>
      <c r="D122" t="s">
        <v>59</v>
      </c>
      <c r="E122" t="s">
        <v>347</v>
      </c>
    </row>
    <row r="123" spans="1:5" x14ac:dyDescent="0.35">
      <c r="A123" t="s">
        <v>1226</v>
      </c>
      <c r="B123" t="s">
        <v>348</v>
      </c>
      <c r="C123" t="s">
        <v>346</v>
      </c>
      <c r="D123" t="s">
        <v>59</v>
      </c>
      <c r="E123" t="s">
        <v>349</v>
      </c>
    </row>
    <row r="124" spans="1:5" x14ac:dyDescent="0.35">
      <c r="A124" t="s">
        <v>1226</v>
      </c>
      <c r="B124" t="s">
        <v>350</v>
      </c>
      <c r="C124" t="s">
        <v>259</v>
      </c>
      <c r="D124" t="s">
        <v>20</v>
      </c>
      <c r="E124" t="s">
        <v>351</v>
      </c>
    </row>
    <row r="125" spans="1:5" x14ac:dyDescent="0.35">
      <c r="A125" t="s">
        <v>1226</v>
      </c>
      <c r="B125" t="s">
        <v>350</v>
      </c>
      <c r="C125" t="s">
        <v>352</v>
      </c>
      <c r="D125" t="s">
        <v>12</v>
      </c>
      <c r="E125" t="s">
        <v>353</v>
      </c>
    </row>
    <row r="126" spans="1:5" x14ac:dyDescent="0.35">
      <c r="A126" t="s">
        <v>1226</v>
      </c>
      <c r="B126" t="s">
        <v>354</v>
      </c>
      <c r="C126" t="s">
        <v>355</v>
      </c>
      <c r="D126" t="s">
        <v>30</v>
      </c>
      <c r="E126" t="s">
        <v>356</v>
      </c>
    </row>
    <row r="127" spans="1:5" x14ac:dyDescent="0.35">
      <c r="A127" t="s">
        <v>1226</v>
      </c>
      <c r="B127" t="s">
        <v>354</v>
      </c>
      <c r="C127" t="s">
        <v>357</v>
      </c>
      <c r="D127" t="s">
        <v>30</v>
      </c>
      <c r="E127" t="s">
        <v>358</v>
      </c>
    </row>
    <row r="128" spans="1:5" x14ac:dyDescent="0.35">
      <c r="A128" t="s">
        <v>1226</v>
      </c>
      <c r="B128" t="s">
        <v>354</v>
      </c>
      <c r="C128" t="s">
        <v>359</v>
      </c>
      <c r="D128" t="s">
        <v>12</v>
      </c>
      <c r="E128" t="s">
        <v>360</v>
      </c>
    </row>
    <row r="129" spans="1:5" x14ac:dyDescent="0.35">
      <c r="A129" t="s">
        <v>1226</v>
      </c>
      <c r="B129" t="s">
        <v>361</v>
      </c>
      <c r="C129" t="s">
        <v>362</v>
      </c>
      <c r="D129" t="s">
        <v>12</v>
      </c>
      <c r="E129" t="s">
        <v>363</v>
      </c>
    </row>
    <row r="130" spans="1:5" x14ac:dyDescent="0.35">
      <c r="A130" t="s">
        <v>1226</v>
      </c>
      <c r="B130" t="s">
        <v>361</v>
      </c>
      <c r="C130" t="s">
        <v>364</v>
      </c>
      <c r="D130" t="s">
        <v>59</v>
      </c>
      <c r="E130" t="s">
        <v>365</v>
      </c>
    </row>
    <row r="131" spans="1:5" x14ac:dyDescent="0.35">
      <c r="A131" t="s">
        <v>1226</v>
      </c>
      <c r="B131" t="s">
        <v>366</v>
      </c>
      <c r="C131" t="s">
        <v>259</v>
      </c>
      <c r="D131" t="s">
        <v>20</v>
      </c>
      <c r="E131" t="s">
        <v>367</v>
      </c>
    </row>
    <row r="132" spans="1:5" x14ac:dyDescent="0.35">
      <c r="A132" t="s">
        <v>1226</v>
      </c>
      <c r="B132" t="s">
        <v>366</v>
      </c>
      <c r="C132" t="s">
        <v>368</v>
      </c>
      <c r="D132" t="s">
        <v>12</v>
      </c>
      <c r="E132" t="s">
        <v>369</v>
      </c>
    </row>
    <row r="133" spans="1:5" x14ac:dyDescent="0.35">
      <c r="A133" t="s">
        <v>1226</v>
      </c>
      <c r="B133" t="s">
        <v>370</v>
      </c>
      <c r="C133" t="s">
        <v>371</v>
      </c>
      <c r="D133" t="s">
        <v>59</v>
      </c>
      <c r="E133" t="s">
        <v>372</v>
      </c>
    </row>
    <row r="134" spans="1:5" x14ac:dyDescent="0.35">
      <c r="A134" t="s">
        <v>1226</v>
      </c>
      <c r="B134" t="s">
        <v>373</v>
      </c>
      <c r="C134" t="s">
        <v>346</v>
      </c>
      <c r="D134" t="s">
        <v>59</v>
      </c>
      <c r="E134" t="s">
        <v>374</v>
      </c>
    </row>
    <row r="135" spans="1:5" x14ac:dyDescent="0.35">
      <c r="A135" t="s">
        <v>1226</v>
      </c>
      <c r="B135" t="s">
        <v>373</v>
      </c>
      <c r="C135" t="s">
        <v>375</v>
      </c>
      <c r="D135" t="s">
        <v>59</v>
      </c>
      <c r="E135" t="s">
        <v>376</v>
      </c>
    </row>
    <row r="136" spans="1:5" x14ac:dyDescent="0.35">
      <c r="A136" t="s">
        <v>1226</v>
      </c>
      <c r="B136" t="s">
        <v>377</v>
      </c>
      <c r="C136" t="s">
        <v>378</v>
      </c>
      <c r="D136" t="s">
        <v>20</v>
      </c>
      <c r="E136" t="s">
        <v>379</v>
      </c>
    </row>
    <row r="137" spans="1:5" x14ac:dyDescent="0.35">
      <c r="A137" t="s">
        <v>1226</v>
      </c>
      <c r="B137" t="s">
        <v>377</v>
      </c>
      <c r="C137" t="s">
        <v>380</v>
      </c>
      <c r="D137" t="s">
        <v>20</v>
      </c>
      <c r="E137" t="s">
        <v>381</v>
      </c>
    </row>
    <row r="138" spans="1:5" x14ac:dyDescent="0.35">
      <c r="A138" t="s">
        <v>1226</v>
      </c>
      <c r="B138" t="s">
        <v>382</v>
      </c>
      <c r="C138" t="s">
        <v>383</v>
      </c>
      <c r="D138" t="s">
        <v>20</v>
      </c>
      <c r="E138" t="s">
        <v>384</v>
      </c>
    </row>
    <row r="139" spans="1:5" x14ac:dyDescent="0.35">
      <c r="A139" t="s">
        <v>1226</v>
      </c>
      <c r="B139" t="s">
        <v>382</v>
      </c>
      <c r="C139" t="s">
        <v>385</v>
      </c>
      <c r="D139" t="s">
        <v>59</v>
      </c>
      <c r="E139" t="s">
        <v>386</v>
      </c>
    </row>
    <row r="140" spans="1:5" x14ac:dyDescent="0.35">
      <c r="A140" t="s">
        <v>1226</v>
      </c>
      <c r="B140" t="s">
        <v>382</v>
      </c>
      <c r="C140" t="s">
        <v>387</v>
      </c>
      <c r="D140" t="s">
        <v>20</v>
      </c>
      <c r="E140" t="s">
        <v>388</v>
      </c>
    </row>
    <row r="141" spans="1:5" x14ac:dyDescent="0.35">
      <c r="A141" t="s">
        <v>1226</v>
      </c>
      <c r="B141" t="s">
        <v>389</v>
      </c>
      <c r="C141" t="s">
        <v>390</v>
      </c>
      <c r="D141" t="s">
        <v>59</v>
      </c>
      <c r="E141" t="s">
        <v>391</v>
      </c>
    </row>
    <row r="142" spans="1:5" x14ac:dyDescent="0.35">
      <c r="A142" t="s">
        <v>1226</v>
      </c>
      <c r="B142" t="s">
        <v>392</v>
      </c>
      <c r="C142" t="s">
        <v>393</v>
      </c>
      <c r="D142" t="s">
        <v>59</v>
      </c>
      <c r="E142" t="s">
        <v>394</v>
      </c>
    </row>
    <row r="143" spans="1:5" x14ac:dyDescent="0.35">
      <c r="A143" t="s">
        <v>1226</v>
      </c>
      <c r="B143" t="s">
        <v>395</v>
      </c>
      <c r="C143" t="s">
        <v>259</v>
      </c>
      <c r="D143" t="s">
        <v>20</v>
      </c>
      <c r="E143" t="s">
        <v>396</v>
      </c>
    </row>
    <row r="144" spans="1:5" x14ac:dyDescent="0.35">
      <c r="A144" t="s">
        <v>1226</v>
      </c>
      <c r="B144" t="s">
        <v>395</v>
      </c>
      <c r="C144" t="s">
        <v>397</v>
      </c>
      <c r="D144" t="s">
        <v>59</v>
      </c>
      <c r="E144" t="s">
        <v>398</v>
      </c>
    </row>
    <row r="145" spans="1:5" x14ac:dyDescent="0.35">
      <c r="A145" t="s">
        <v>1226</v>
      </c>
      <c r="B145" t="s">
        <v>399</v>
      </c>
      <c r="C145" t="s">
        <v>400</v>
      </c>
      <c r="D145" t="s">
        <v>20</v>
      </c>
      <c r="E145" t="s">
        <v>401</v>
      </c>
    </row>
    <row r="146" spans="1:5" x14ac:dyDescent="0.35">
      <c r="A146" t="s">
        <v>1226</v>
      </c>
      <c r="B146" t="s">
        <v>402</v>
      </c>
      <c r="C146" t="s">
        <v>403</v>
      </c>
      <c r="D146" t="s">
        <v>30</v>
      </c>
      <c r="E146" t="s">
        <v>404</v>
      </c>
    </row>
    <row r="147" spans="1:5" x14ac:dyDescent="0.35">
      <c r="A147" t="s">
        <v>1226</v>
      </c>
      <c r="B147" t="s">
        <v>405</v>
      </c>
      <c r="C147" t="s">
        <v>406</v>
      </c>
      <c r="D147" t="s">
        <v>20</v>
      </c>
      <c r="E147" t="s">
        <v>407</v>
      </c>
    </row>
    <row r="148" spans="1:5" x14ac:dyDescent="0.35">
      <c r="A148" t="s">
        <v>1226</v>
      </c>
      <c r="B148" t="s">
        <v>408</v>
      </c>
      <c r="C148" t="s">
        <v>409</v>
      </c>
      <c r="D148" t="s">
        <v>59</v>
      </c>
      <c r="E148" t="s">
        <v>410</v>
      </c>
    </row>
    <row r="149" spans="1:5" x14ac:dyDescent="0.35">
      <c r="A149" t="s">
        <v>1226</v>
      </c>
      <c r="B149" t="s">
        <v>411</v>
      </c>
      <c r="C149" t="s">
        <v>412</v>
      </c>
      <c r="D149" t="s">
        <v>20</v>
      </c>
      <c r="E149" t="s">
        <v>413</v>
      </c>
    </row>
    <row r="150" spans="1:5" x14ac:dyDescent="0.35">
      <c r="A150" t="s">
        <v>1226</v>
      </c>
      <c r="B150" t="s">
        <v>411</v>
      </c>
      <c r="C150" t="s">
        <v>414</v>
      </c>
      <c r="D150" t="s">
        <v>20</v>
      </c>
      <c r="E150" t="s">
        <v>415</v>
      </c>
    </row>
    <row r="151" spans="1:5" x14ac:dyDescent="0.35">
      <c r="A151" t="s">
        <v>1226</v>
      </c>
      <c r="B151" t="s">
        <v>411</v>
      </c>
      <c r="C151" t="s">
        <v>416</v>
      </c>
      <c r="D151" t="s">
        <v>20</v>
      </c>
      <c r="E151" t="s">
        <v>417</v>
      </c>
    </row>
    <row r="152" spans="1:5" x14ac:dyDescent="0.35">
      <c r="A152" t="s">
        <v>1226</v>
      </c>
      <c r="B152" t="s">
        <v>418</v>
      </c>
      <c r="C152" t="s">
        <v>225</v>
      </c>
      <c r="D152" t="s">
        <v>59</v>
      </c>
      <c r="E152" t="s">
        <v>419</v>
      </c>
    </row>
    <row r="153" spans="1:5" x14ac:dyDescent="0.35">
      <c r="A153" t="s">
        <v>1226</v>
      </c>
      <c r="B153" t="s">
        <v>420</v>
      </c>
      <c r="C153" t="s">
        <v>421</v>
      </c>
      <c r="D153" t="s">
        <v>59</v>
      </c>
      <c r="E153" t="s">
        <v>422</v>
      </c>
    </row>
    <row r="154" spans="1:5" x14ac:dyDescent="0.35">
      <c r="A154" t="s">
        <v>1226</v>
      </c>
      <c r="B154" t="s">
        <v>423</v>
      </c>
      <c r="C154" t="s">
        <v>346</v>
      </c>
      <c r="D154" t="s">
        <v>59</v>
      </c>
      <c r="E154" t="s">
        <v>424</v>
      </c>
    </row>
    <row r="155" spans="1:5" x14ac:dyDescent="0.35">
      <c r="A155" t="s">
        <v>1226</v>
      </c>
      <c r="B155" t="s">
        <v>425</v>
      </c>
      <c r="C155" t="s">
        <v>240</v>
      </c>
      <c r="D155" t="s">
        <v>20</v>
      </c>
      <c r="E155" t="s">
        <v>426</v>
      </c>
    </row>
    <row r="156" spans="1:5" x14ac:dyDescent="0.35">
      <c r="A156" t="s">
        <v>1226</v>
      </c>
      <c r="B156" t="s">
        <v>427</v>
      </c>
      <c r="C156" t="s">
        <v>428</v>
      </c>
      <c r="D156" t="s">
        <v>59</v>
      </c>
      <c r="E156" t="s">
        <v>429</v>
      </c>
    </row>
    <row r="157" spans="1:5" x14ac:dyDescent="0.35">
      <c r="A157" t="s">
        <v>1226</v>
      </c>
      <c r="B157" t="s">
        <v>430</v>
      </c>
      <c r="C157" t="s">
        <v>259</v>
      </c>
      <c r="D157" t="s">
        <v>20</v>
      </c>
      <c r="E157" t="s">
        <v>431</v>
      </c>
    </row>
    <row r="158" spans="1:5" x14ac:dyDescent="0.35">
      <c r="A158" t="s">
        <v>1226</v>
      </c>
      <c r="B158" t="s">
        <v>432</v>
      </c>
      <c r="C158" t="s">
        <v>259</v>
      </c>
      <c r="D158" t="s">
        <v>20</v>
      </c>
      <c r="E158" t="s">
        <v>433</v>
      </c>
    </row>
    <row r="159" spans="1:5" x14ac:dyDescent="0.35">
      <c r="A159" t="s">
        <v>1226</v>
      </c>
      <c r="B159" t="s">
        <v>432</v>
      </c>
      <c r="C159" t="s">
        <v>434</v>
      </c>
      <c r="D159" t="s">
        <v>12</v>
      </c>
      <c r="E159" t="s">
        <v>435</v>
      </c>
    </row>
    <row r="160" spans="1:5" x14ac:dyDescent="0.35">
      <c r="A160" t="s">
        <v>1226</v>
      </c>
      <c r="B160" t="s">
        <v>436</v>
      </c>
      <c r="C160" t="s">
        <v>437</v>
      </c>
      <c r="D160" t="s">
        <v>20</v>
      </c>
      <c r="E160" t="s">
        <v>438</v>
      </c>
    </row>
    <row r="161" spans="1:5" x14ac:dyDescent="0.35">
      <c r="A161" t="s">
        <v>1226</v>
      </c>
      <c r="B161" t="s">
        <v>439</v>
      </c>
      <c r="C161" t="s">
        <v>440</v>
      </c>
      <c r="D161" t="s">
        <v>59</v>
      </c>
      <c r="E161" t="s">
        <v>441</v>
      </c>
    </row>
    <row r="162" spans="1:5" x14ac:dyDescent="0.35">
      <c r="A162" t="s">
        <v>1226</v>
      </c>
      <c r="B162" t="s">
        <v>442</v>
      </c>
      <c r="C162" t="s">
        <v>442</v>
      </c>
      <c r="D162" t="s">
        <v>20</v>
      </c>
      <c r="E162" t="s">
        <v>443</v>
      </c>
    </row>
    <row r="163" spans="1:5" x14ac:dyDescent="0.35">
      <c r="A163" t="s">
        <v>1226</v>
      </c>
      <c r="B163" t="s">
        <v>442</v>
      </c>
      <c r="C163" t="s">
        <v>346</v>
      </c>
      <c r="D163" t="s">
        <v>12</v>
      </c>
      <c r="E163" t="s">
        <v>444</v>
      </c>
    </row>
    <row r="164" spans="1:5" x14ac:dyDescent="0.35">
      <c r="A164" t="s">
        <v>1226</v>
      </c>
      <c r="B164" t="s">
        <v>445</v>
      </c>
      <c r="C164" t="s">
        <v>446</v>
      </c>
      <c r="D164" t="s">
        <v>20</v>
      </c>
      <c r="E164" t="s">
        <v>447</v>
      </c>
    </row>
    <row r="165" spans="1:5" x14ac:dyDescent="0.35">
      <c r="A165" t="s">
        <v>1226</v>
      </c>
      <c r="B165" t="s">
        <v>448</v>
      </c>
      <c r="C165" t="s">
        <v>225</v>
      </c>
      <c r="D165" t="s">
        <v>59</v>
      </c>
      <c r="E165" t="s">
        <v>449</v>
      </c>
    </row>
    <row r="166" spans="1:5" x14ac:dyDescent="0.35">
      <c r="A166" t="s">
        <v>1226</v>
      </c>
      <c r="B166" t="s">
        <v>450</v>
      </c>
      <c r="C166" t="s">
        <v>451</v>
      </c>
      <c r="D166" t="s">
        <v>20</v>
      </c>
      <c r="E166" t="s">
        <v>452</v>
      </c>
    </row>
    <row r="167" spans="1:5" x14ac:dyDescent="0.35">
      <c r="A167" t="s">
        <v>1226</v>
      </c>
      <c r="B167" t="s">
        <v>453</v>
      </c>
      <c r="C167" t="s">
        <v>259</v>
      </c>
      <c r="D167" t="s">
        <v>20</v>
      </c>
      <c r="E167" t="s">
        <v>454</v>
      </c>
    </row>
    <row r="168" spans="1:5" x14ac:dyDescent="0.35">
      <c r="A168" t="s">
        <v>1226</v>
      </c>
      <c r="B168" t="s">
        <v>453</v>
      </c>
      <c r="C168" t="s">
        <v>455</v>
      </c>
      <c r="D168" t="s">
        <v>59</v>
      </c>
      <c r="E168" t="s">
        <v>456</v>
      </c>
    </row>
    <row r="169" spans="1:5" x14ac:dyDescent="0.35">
      <c r="A169" t="s">
        <v>1226</v>
      </c>
      <c r="B169" t="s">
        <v>457</v>
      </c>
      <c r="C169" t="s">
        <v>458</v>
      </c>
      <c r="D169" t="s">
        <v>59</v>
      </c>
      <c r="E169" t="s">
        <v>459</v>
      </c>
    </row>
    <row r="170" spans="1:5" x14ac:dyDescent="0.35">
      <c r="A170" t="s">
        <v>1226</v>
      </c>
      <c r="B170" t="s">
        <v>460</v>
      </c>
      <c r="C170" t="s">
        <v>461</v>
      </c>
      <c r="D170" t="s">
        <v>30</v>
      </c>
      <c r="E170" t="s">
        <v>462</v>
      </c>
    </row>
    <row r="171" spans="1:5" x14ac:dyDescent="0.35">
      <c r="A171" t="s">
        <v>1226</v>
      </c>
      <c r="B171" t="s">
        <v>460</v>
      </c>
      <c r="C171" t="s">
        <v>463</v>
      </c>
      <c r="D171" t="s">
        <v>30</v>
      </c>
      <c r="E171" t="s">
        <v>464</v>
      </c>
    </row>
    <row r="172" spans="1:5" x14ac:dyDescent="0.35">
      <c r="A172" t="s">
        <v>1226</v>
      </c>
      <c r="B172" t="s">
        <v>460</v>
      </c>
      <c r="C172" t="s">
        <v>465</v>
      </c>
      <c r="D172" t="s">
        <v>59</v>
      </c>
      <c r="E172" t="s">
        <v>466</v>
      </c>
    </row>
    <row r="173" spans="1:5" x14ac:dyDescent="0.35">
      <c r="A173" t="s">
        <v>1226</v>
      </c>
      <c r="B173" t="s">
        <v>460</v>
      </c>
      <c r="C173" t="s">
        <v>467</v>
      </c>
      <c r="D173" t="s">
        <v>30</v>
      </c>
      <c r="E173" t="s">
        <v>468</v>
      </c>
    </row>
    <row r="174" spans="1:5" x14ac:dyDescent="0.35">
      <c r="A174" t="s">
        <v>1226</v>
      </c>
      <c r="B174" t="s">
        <v>469</v>
      </c>
      <c r="C174" t="s">
        <v>470</v>
      </c>
      <c r="D174" t="s">
        <v>59</v>
      </c>
      <c r="E174" t="s">
        <v>471</v>
      </c>
    </row>
    <row r="175" spans="1:5" x14ac:dyDescent="0.35">
      <c r="A175" t="s">
        <v>1226</v>
      </c>
      <c r="B175" t="s">
        <v>469</v>
      </c>
      <c r="C175" t="s">
        <v>312</v>
      </c>
      <c r="D175" t="s">
        <v>59</v>
      </c>
      <c r="E175" t="s">
        <v>472</v>
      </c>
    </row>
    <row r="176" spans="1:5" x14ac:dyDescent="0.35">
      <c r="A176" t="s">
        <v>1226</v>
      </c>
      <c r="B176" t="s">
        <v>473</v>
      </c>
      <c r="C176" t="s">
        <v>225</v>
      </c>
      <c r="D176" t="s">
        <v>59</v>
      </c>
      <c r="E176" t="s">
        <v>474</v>
      </c>
    </row>
    <row r="177" spans="1:5" x14ac:dyDescent="0.35">
      <c r="A177" t="s">
        <v>1226</v>
      </c>
      <c r="B177" t="s">
        <v>475</v>
      </c>
      <c r="C177" t="s">
        <v>259</v>
      </c>
      <c r="D177" t="s">
        <v>20</v>
      </c>
      <c r="E177" t="s">
        <v>476</v>
      </c>
    </row>
    <row r="178" spans="1:5" x14ac:dyDescent="0.35">
      <c r="A178" t="s">
        <v>1226</v>
      </c>
      <c r="B178" t="s">
        <v>477</v>
      </c>
      <c r="C178" t="s">
        <v>477</v>
      </c>
      <c r="D178" t="s">
        <v>59</v>
      </c>
      <c r="E178" t="s">
        <v>478</v>
      </c>
    </row>
    <row r="179" spans="1:5" x14ac:dyDescent="0.35">
      <c r="A179" t="s">
        <v>1226</v>
      </c>
      <c r="B179" t="s">
        <v>479</v>
      </c>
      <c r="C179" t="s">
        <v>346</v>
      </c>
      <c r="D179" t="s">
        <v>59</v>
      </c>
      <c r="E179" t="s">
        <v>480</v>
      </c>
    </row>
    <row r="180" spans="1:5" x14ac:dyDescent="0.35">
      <c r="A180" t="s">
        <v>1226</v>
      </c>
      <c r="B180" t="s">
        <v>481</v>
      </c>
      <c r="C180" t="s">
        <v>482</v>
      </c>
      <c r="D180" t="s">
        <v>59</v>
      </c>
      <c r="E180" t="s">
        <v>483</v>
      </c>
    </row>
    <row r="181" spans="1:5" x14ac:dyDescent="0.35">
      <c r="A181" t="s">
        <v>1226</v>
      </c>
      <c r="B181" t="s">
        <v>484</v>
      </c>
      <c r="C181" t="s">
        <v>485</v>
      </c>
      <c r="D181" t="s">
        <v>12</v>
      </c>
      <c r="E181" t="s">
        <v>486</v>
      </c>
    </row>
    <row r="182" spans="1:5" x14ac:dyDescent="0.35">
      <c r="A182" t="s">
        <v>1226</v>
      </c>
      <c r="B182" t="s">
        <v>487</v>
      </c>
      <c r="C182" t="s">
        <v>259</v>
      </c>
      <c r="D182" t="s">
        <v>20</v>
      </c>
      <c r="E182" t="s">
        <v>488</v>
      </c>
    </row>
    <row r="183" spans="1:5" x14ac:dyDescent="0.35">
      <c r="A183" t="s">
        <v>1226</v>
      </c>
      <c r="B183" t="s">
        <v>489</v>
      </c>
      <c r="C183" t="s">
        <v>490</v>
      </c>
      <c r="D183" t="s">
        <v>20</v>
      </c>
      <c r="E183" t="s">
        <v>491</v>
      </c>
    </row>
    <row r="184" spans="1:5" x14ac:dyDescent="0.35">
      <c r="A184" t="s">
        <v>1226</v>
      </c>
      <c r="B184" t="s">
        <v>492</v>
      </c>
      <c r="C184" t="s">
        <v>209</v>
      </c>
      <c r="D184" t="s">
        <v>30</v>
      </c>
      <c r="E184" t="s">
        <v>493</v>
      </c>
    </row>
    <row r="185" spans="1:5" x14ac:dyDescent="0.35">
      <c r="A185" t="s">
        <v>1226</v>
      </c>
      <c r="B185" t="s">
        <v>492</v>
      </c>
      <c r="C185" t="s">
        <v>494</v>
      </c>
      <c r="D185" t="s">
        <v>30</v>
      </c>
      <c r="E185" t="s">
        <v>493</v>
      </c>
    </row>
    <row r="186" spans="1:5" x14ac:dyDescent="0.35">
      <c r="A186" t="s">
        <v>1226</v>
      </c>
      <c r="B186" t="s">
        <v>495</v>
      </c>
      <c r="C186" t="s">
        <v>496</v>
      </c>
      <c r="D186" t="s">
        <v>12</v>
      </c>
      <c r="E186" t="s">
        <v>497</v>
      </c>
    </row>
    <row r="187" spans="1:5" x14ac:dyDescent="0.35">
      <c r="A187" t="s">
        <v>1226</v>
      </c>
      <c r="B187" t="s">
        <v>495</v>
      </c>
      <c r="C187" t="s">
        <v>498</v>
      </c>
      <c r="D187" t="s">
        <v>59</v>
      </c>
      <c r="E187" t="s">
        <v>499</v>
      </c>
    </row>
    <row r="188" spans="1:5" x14ac:dyDescent="0.35">
      <c r="A188" t="s">
        <v>1226</v>
      </c>
      <c r="B188" t="s">
        <v>500</v>
      </c>
      <c r="C188" t="s">
        <v>501</v>
      </c>
      <c r="D188" t="s">
        <v>20</v>
      </c>
      <c r="E188" t="s">
        <v>502</v>
      </c>
    </row>
    <row r="189" spans="1:5" x14ac:dyDescent="0.35">
      <c r="A189" t="s">
        <v>1226</v>
      </c>
      <c r="B189" t="s">
        <v>503</v>
      </c>
      <c r="C189" t="s">
        <v>504</v>
      </c>
      <c r="D189" t="s">
        <v>30</v>
      </c>
      <c r="E189" t="s">
        <v>505</v>
      </c>
    </row>
    <row r="190" spans="1:5" x14ac:dyDescent="0.35">
      <c r="A190" t="s">
        <v>1226</v>
      </c>
      <c r="B190" t="s">
        <v>503</v>
      </c>
      <c r="C190" t="s">
        <v>506</v>
      </c>
      <c r="D190" t="s">
        <v>30</v>
      </c>
      <c r="E190" t="s">
        <v>505</v>
      </c>
    </row>
    <row r="191" spans="1:5" x14ac:dyDescent="0.35">
      <c r="A191" t="s">
        <v>1226</v>
      </c>
      <c r="B191" t="s">
        <v>507</v>
      </c>
      <c r="C191" t="s">
        <v>259</v>
      </c>
      <c r="D191" t="s">
        <v>20</v>
      </c>
      <c r="E191" t="s">
        <v>508</v>
      </c>
    </row>
    <row r="192" spans="1:5" x14ac:dyDescent="0.35">
      <c r="A192" t="s">
        <v>1226</v>
      </c>
      <c r="B192" t="s">
        <v>507</v>
      </c>
      <c r="C192" t="s">
        <v>509</v>
      </c>
      <c r="D192" t="s">
        <v>30</v>
      </c>
      <c r="E192" t="s">
        <v>510</v>
      </c>
    </row>
    <row r="193" spans="1:5" x14ac:dyDescent="0.35">
      <c r="A193" t="s">
        <v>1226</v>
      </c>
      <c r="B193" t="s">
        <v>507</v>
      </c>
      <c r="C193" t="s">
        <v>511</v>
      </c>
      <c r="D193" t="s">
        <v>30</v>
      </c>
      <c r="E193" t="s">
        <v>510</v>
      </c>
    </row>
    <row r="194" spans="1:5" x14ac:dyDescent="0.35">
      <c r="A194" t="s">
        <v>1226</v>
      </c>
      <c r="B194" t="s">
        <v>507</v>
      </c>
      <c r="C194" t="s">
        <v>512</v>
      </c>
      <c r="D194" t="s">
        <v>30</v>
      </c>
      <c r="E194" t="s">
        <v>513</v>
      </c>
    </row>
    <row r="195" spans="1:5" x14ac:dyDescent="0.35">
      <c r="A195" t="s">
        <v>1226</v>
      </c>
      <c r="B195" t="s">
        <v>507</v>
      </c>
      <c r="C195" t="s">
        <v>514</v>
      </c>
      <c r="D195" t="s">
        <v>30</v>
      </c>
      <c r="E195" t="s">
        <v>515</v>
      </c>
    </row>
    <row r="196" spans="1:5" x14ac:dyDescent="0.35">
      <c r="A196" t="s">
        <v>1226</v>
      </c>
      <c r="B196" t="s">
        <v>516</v>
      </c>
      <c r="C196" t="s">
        <v>517</v>
      </c>
      <c r="D196" t="s">
        <v>30</v>
      </c>
      <c r="E196" t="s">
        <v>518</v>
      </c>
    </row>
    <row r="197" spans="1:5" x14ac:dyDescent="0.35">
      <c r="A197" t="s">
        <v>1226</v>
      </c>
      <c r="B197" t="s">
        <v>519</v>
      </c>
      <c r="C197" t="s">
        <v>520</v>
      </c>
      <c r="D197" t="s">
        <v>59</v>
      </c>
      <c r="E197" t="s">
        <v>521</v>
      </c>
    </row>
    <row r="198" spans="1:5" x14ac:dyDescent="0.35">
      <c r="A198" t="s">
        <v>1226</v>
      </c>
      <c r="B198" t="s">
        <v>519</v>
      </c>
      <c r="C198" t="s">
        <v>225</v>
      </c>
      <c r="D198" t="s">
        <v>59</v>
      </c>
      <c r="E198" t="s">
        <v>522</v>
      </c>
    </row>
    <row r="199" spans="1:5" x14ac:dyDescent="0.35">
      <c r="A199" t="s">
        <v>1226</v>
      </c>
      <c r="B199" t="s">
        <v>523</v>
      </c>
      <c r="C199" t="s">
        <v>259</v>
      </c>
      <c r="D199" t="s">
        <v>20</v>
      </c>
      <c r="E199" t="s">
        <v>524</v>
      </c>
    </row>
    <row r="200" spans="1:5" x14ac:dyDescent="0.35">
      <c r="A200" t="s">
        <v>1226</v>
      </c>
      <c r="B200" t="s">
        <v>525</v>
      </c>
      <c r="C200" t="s">
        <v>259</v>
      </c>
      <c r="D200" t="s">
        <v>20</v>
      </c>
      <c r="E200" t="s">
        <v>526</v>
      </c>
    </row>
    <row r="201" spans="1:5" x14ac:dyDescent="0.35">
      <c r="A201" t="s">
        <v>1226</v>
      </c>
      <c r="B201" t="s">
        <v>527</v>
      </c>
      <c r="C201" t="s">
        <v>346</v>
      </c>
      <c r="D201" t="s">
        <v>59</v>
      </c>
      <c r="E201" t="s">
        <v>528</v>
      </c>
    </row>
    <row r="202" spans="1:5" x14ac:dyDescent="0.35">
      <c r="A202" t="s">
        <v>1226</v>
      </c>
      <c r="B202" t="s">
        <v>529</v>
      </c>
      <c r="C202" t="s">
        <v>530</v>
      </c>
      <c r="D202" t="s">
        <v>20</v>
      </c>
      <c r="E202" t="s">
        <v>531</v>
      </c>
    </row>
    <row r="203" spans="1:5" x14ac:dyDescent="0.35">
      <c r="A203" t="s">
        <v>1226</v>
      </c>
      <c r="B203" t="s">
        <v>532</v>
      </c>
      <c r="C203" t="s">
        <v>533</v>
      </c>
      <c r="D203" t="s">
        <v>30</v>
      </c>
      <c r="E203" t="s">
        <v>534</v>
      </c>
    </row>
    <row r="204" spans="1:5" x14ac:dyDescent="0.35">
      <c r="A204" t="s">
        <v>1226</v>
      </c>
      <c r="B204" t="s">
        <v>532</v>
      </c>
      <c r="C204" t="s">
        <v>209</v>
      </c>
      <c r="D204" t="s">
        <v>30</v>
      </c>
      <c r="E204" t="s">
        <v>535</v>
      </c>
    </row>
    <row r="205" spans="1:5" x14ac:dyDescent="0.35">
      <c r="A205" t="s">
        <v>1226</v>
      </c>
      <c r="B205" t="s">
        <v>532</v>
      </c>
      <c r="C205" t="s">
        <v>536</v>
      </c>
      <c r="D205" t="s">
        <v>30</v>
      </c>
      <c r="E205" t="s">
        <v>537</v>
      </c>
    </row>
    <row r="206" spans="1:5" x14ac:dyDescent="0.35">
      <c r="A206" t="s">
        <v>1226</v>
      </c>
      <c r="B206" t="s">
        <v>538</v>
      </c>
      <c r="C206" t="s">
        <v>539</v>
      </c>
      <c r="D206" t="s">
        <v>20</v>
      </c>
      <c r="E206" t="s">
        <v>540</v>
      </c>
    </row>
    <row r="207" spans="1:5" x14ac:dyDescent="0.35">
      <c r="A207" t="s">
        <v>1226</v>
      </c>
      <c r="B207" t="s">
        <v>541</v>
      </c>
      <c r="C207" t="s">
        <v>259</v>
      </c>
      <c r="D207" t="s">
        <v>20</v>
      </c>
      <c r="E207" t="s">
        <v>542</v>
      </c>
    </row>
    <row r="208" spans="1:5" x14ac:dyDescent="0.35">
      <c r="A208" t="s">
        <v>1226</v>
      </c>
      <c r="B208" t="s">
        <v>543</v>
      </c>
      <c r="C208" t="s">
        <v>544</v>
      </c>
      <c r="D208" t="s">
        <v>20</v>
      </c>
      <c r="E208" t="s">
        <v>545</v>
      </c>
    </row>
    <row r="209" spans="1:5" x14ac:dyDescent="0.35">
      <c r="A209" t="s">
        <v>1226</v>
      </c>
      <c r="B209" t="s">
        <v>543</v>
      </c>
      <c r="C209" t="s">
        <v>346</v>
      </c>
      <c r="D209" t="s">
        <v>59</v>
      </c>
      <c r="E209" t="s">
        <v>546</v>
      </c>
    </row>
    <row r="210" spans="1:5" x14ac:dyDescent="0.35">
      <c r="A210" t="s">
        <v>1226</v>
      </c>
      <c r="B210" t="s">
        <v>547</v>
      </c>
      <c r="C210" t="s">
        <v>346</v>
      </c>
      <c r="D210" t="s">
        <v>59</v>
      </c>
      <c r="E210" t="s">
        <v>548</v>
      </c>
    </row>
    <row r="211" spans="1:5" x14ac:dyDescent="0.35">
      <c r="A211" t="s">
        <v>1226</v>
      </c>
      <c r="B211" t="s">
        <v>549</v>
      </c>
      <c r="C211" t="s">
        <v>550</v>
      </c>
      <c r="D211" t="s">
        <v>30</v>
      </c>
      <c r="E211" t="s">
        <v>551</v>
      </c>
    </row>
    <row r="212" spans="1:5" x14ac:dyDescent="0.35">
      <c r="A212" t="s">
        <v>1226</v>
      </c>
      <c r="B212" t="s">
        <v>552</v>
      </c>
      <c r="C212" t="s">
        <v>553</v>
      </c>
      <c r="D212" t="s">
        <v>59</v>
      </c>
      <c r="E212" t="s">
        <v>554</v>
      </c>
    </row>
    <row r="213" spans="1:5" x14ac:dyDescent="0.35">
      <c r="A213" t="s">
        <v>1226</v>
      </c>
      <c r="B213" t="s">
        <v>555</v>
      </c>
      <c r="C213" t="s">
        <v>225</v>
      </c>
      <c r="D213" t="s">
        <v>20</v>
      </c>
      <c r="E213" t="s">
        <v>556</v>
      </c>
    </row>
    <row r="214" spans="1:5" x14ac:dyDescent="0.35">
      <c r="A214" t="s">
        <v>1226</v>
      </c>
      <c r="B214" t="s">
        <v>557</v>
      </c>
      <c r="C214" t="s">
        <v>259</v>
      </c>
      <c r="D214" t="s">
        <v>59</v>
      </c>
      <c r="E214" t="s">
        <v>558</v>
      </c>
    </row>
    <row r="215" spans="1:5" x14ac:dyDescent="0.35">
      <c r="A215" t="s">
        <v>1226</v>
      </c>
      <c r="B215" t="s">
        <v>559</v>
      </c>
      <c r="C215" t="s">
        <v>442</v>
      </c>
      <c r="D215" t="s">
        <v>20</v>
      </c>
      <c r="E215" t="s">
        <v>560</v>
      </c>
    </row>
    <row r="216" spans="1:5" x14ac:dyDescent="0.35">
      <c r="A216" t="s">
        <v>1226</v>
      </c>
      <c r="B216" t="s">
        <v>559</v>
      </c>
      <c r="C216" t="s">
        <v>346</v>
      </c>
      <c r="D216" t="s">
        <v>12</v>
      </c>
      <c r="E216" t="s">
        <v>561</v>
      </c>
    </row>
    <row r="217" spans="1:5" x14ac:dyDescent="0.35">
      <c r="A217" t="s">
        <v>1226</v>
      </c>
      <c r="B217" t="s">
        <v>562</v>
      </c>
      <c r="C217" t="s">
        <v>563</v>
      </c>
      <c r="D217" t="s">
        <v>30</v>
      </c>
      <c r="E217" t="s">
        <v>564</v>
      </c>
    </row>
    <row r="218" spans="1:5" x14ac:dyDescent="0.35">
      <c r="A218" t="s">
        <v>1226</v>
      </c>
      <c r="B218" t="s">
        <v>562</v>
      </c>
      <c r="C218" t="s">
        <v>511</v>
      </c>
      <c r="D218" t="s">
        <v>30</v>
      </c>
      <c r="E218" t="s">
        <v>565</v>
      </c>
    </row>
    <row r="219" spans="1:5" x14ac:dyDescent="0.35">
      <c r="A219" t="s">
        <v>1226</v>
      </c>
      <c r="B219" t="s">
        <v>562</v>
      </c>
      <c r="C219" t="s">
        <v>512</v>
      </c>
      <c r="D219" t="s">
        <v>30</v>
      </c>
      <c r="E219" t="s">
        <v>566</v>
      </c>
    </row>
    <row r="220" spans="1:5" x14ac:dyDescent="0.35">
      <c r="A220" t="s">
        <v>1226</v>
      </c>
      <c r="B220" t="s">
        <v>562</v>
      </c>
      <c r="C220" t="s">
        <v>514</v>
      </c>
      <c r="D220" t="s">
        <v>30</v>
      </c>
      <c r="E220" t="s">
        <v>566</v>
      </c>
    </row>
    <row r="221" spans="1:5" x14ac:dyDescent="0.35">
      <c r="A221" t="s">
        <v>1226</v>
      </c>
      <c r="B221" t="s">
        <v>567</v>
      </c>
      <c r="C221" t="s">
        <v>568</v>
      </c>
      <c r="D221" t="s">
        <v>20</v>
      </c>
      <c r="E221" t="s">
        <v>569</v>
      </c>
    </row>
    <row r="222" spans="1:5" x14ac:dyDescent="0.35">
      <c r="A222" t="s">
        <v>1226</v>
      </c>
      <c r="B222" t="s">
        <v>567</v>
      </c>
      <c r="C222" t="s">
        <v>570</v>
      </c>
      <c r="D222" t="s">
        <v>59</v>
      </c>
      <c r="E222" t="s">
        <v>571</v>
      </c>
    </row>
    <row r="223" spans="1:5" x14ac:dyDescent="0.35">
      <c r="A223" t="s">
        <v>1226</v>
      </c>
      <c r="B223" t="s">
        <v>572</v>
      </c>
      <c r="C223" t="s">
        <v>494</v>
      </c>
      <c r="D223" t="s">
        <v>30</v>
      </c>
      <c r="E223" t="s">
        <v>573</v>
      </c>
    </row>
    <row r="224" spans="1:5" x14ac:dyDescent="0.35">
      <c r="A224" t="s">
        <v>1226</v>
      </c>
      <c r="B224" t="s">
        <v>572</v>
      </c>
      <c r="C224" t="s">
        <v>346</v>
      </c>
      <c r="D224" t="s">
        <v>59</v>
      </c>
      <c r="E224" t="s">
        <v>574</v>
      </c>
    </row>
    <row r="225" spans="1:5" x14ac:dyDescent="0.35">
      <c r="A225" t="s">
        <v>1226</v>
      </c>
      <c r="B225" t="s">
        <v>575</v>
      </c>
      <c r="C225" t="s">
        <v>576</v>
      </c>
      <c r="D225" t="s">
        <v>20</v>
      </c>
      <c r="E225" t="s">
        <v>577</v>
      </c>
    </row>
    <row r="226" spans="1:5" x14ac:dyDescent="0.35">
      <c r="A226" t="s">
        <v>1226</v>
      </c>
      <c r="B226" t="s">
        <v>575</v>
      </c>
      <c r="C226" t="s">
        <v>578</v>
      </c>
      <c r="D226" t="s">
        <v>59</v>
      </c>
      <c r="E226" t="s">
        <v>579</v>
      </c>
    </row>
    <row r="227" spans="1:5" x14ac:dyDescent="0.35">
      <c r="A227" t="s">
        <v>1226</v>
      </c>
      <c r="B227" t="s">
        <v>575</v>
      </c>
      <c r="C227" t="s">
        <v>580</v>
      </c>
      <c r="D227" t="s">
        <v>59</v>
      </c>
      <c r="E227" t="s">
        <v>581</v>
      </c>
    </row>
    <row r="228" spans="1:5" x14ac:dyDescent="0.35">
      <c r="A228" t="s">
        <v>1226</v>
      </c>
      <c r="B228" t="s">
        <v>582</v>
      </c>
      <c r="C228" t="s">
        <v>583</v>
      </c>
      <c r="D228" t="s">
        <v>59</v>
      </c>
      <c r="E228" t="s">
        <v>584</v>
      </c>
    </row>
    <row r="229" spans="1:5" x14ac:dyDescent="0.35">
      <c r="A229" t="s">
        <v>1226</v>
      </c>
      <c r="B229" t="s">
        <v>582</v>
      </c>
      <c r="C229" t="s">
        <v>585</v>
      </c>
      <c r="D229" t="s">
        <v>20</v>
      </c>
      <c r="E229" t="s">
        <v>586</v>
      </c>
    </row>
    <row r="230" spans="1:5" x14ac:dyDescent="0.35">
      <c r="A230" t="s">
        <v>1226</v>
      </c>
      <c r="B230" t="s">
        <v>587</v>
      </c>
      <c r="C230" t="s">
        <v>588</v>
      </c>
      <c r="D230" t="s">
        <v>59</v>
      </c>
      <c r="E230" t="s">
        <v>589</v>
      </c>
    </row>
    <row r="231" spans="1:5" x14ac:dyDescent="0.35">
      <c r="A231" t="s">
        <v>1226</v>
      </c>
      <c r="B231" t="s">
        <v>587</v>
      </c>
      <c r="C231" t="s">
        <v>590</v>
      </c>
      <c r="D231" t="s">
        <v>59</v>
      </c>
      <c r="E231" t="s">
        <v>589</v>
      </c>
    </row>
    <row r="232" spans="1:5" x14ac:dyDescent="0.35">
      <c r="A232" t="s">
        <v>1226</v>
      </c>
      <c r="B232" t="s">
        <v>587</v>
      </c>
      <c r="C232" t="s">
        <v>591</v>
      </c>
      <c r="D232" t="s">
        <v>59</v>
      </c>
      <c r="E232" t="s">
        <v>589</v>
      </c>
    </row>
    <row r="233" spans="1:5" x14ac:dyDescent="0.35">
      <c r="A233" t="s">
        <v>1226</v>
      </c>
      <c r="B233" t="s">
        <v>587</v>
      </c>
      <c r="C233" t="s">
        <v>592</v>
      </c>
      <c r="D233" t="s">
        <v>59</v>
      </c>
      <c r="E233" t="s">
        <v>589</v>
      </c>
    </row>
    <row r="234" spans="1:5" x14ac:dyDescent="0.35">
      <c r="A234" t="s">
        <v>1226</v>
      </c>
      <c r="B234" t="s">
        <v>593</v>
      </c>
      <c r="C234" t="s">
        <v>594</v>
      </c>
      <c r="D234" t="s">
        <v>20</v>
      </c>
      <c r="E234" t="s">
        <v>595</v>
      </c>
    </row>
    <row r="235" spans="1:5" x14ac:dyDescent="0.35">
      <c r="A235" t="s">
        <v>1226</v>
      </c>
      <c r="B235" t="s">
        <v>593</v>
      </c>
      <c r="C235" t="s">
        <v>596</v>
      </c>
      <c r="D235" t="s">
        <v>12</v>
      </c>
      <c r="E235" t="s">
        <v>597</v>
      </c>
    </row>
    <row r="236" spans="1:5" x14ac:dyDescent="0.35">
      <c r="A236" t="s">
        <v>1226</v>
      </c>
      <c r="B236" t="s">
        <v>598</v>
      </c>
      <c r="C236" t="s">
        <v>583</v>
      </c>
      <c r="D236" t="s">
        <v>59</v>
      </c>
      <c r="E236" t="s">
        <v>599</v>
      </c>
    </row>
    <row r="237" spans="1:5" x14ac:dyDescent="0.35">
      <c r="A237" t="s">
        <v>1226</v>
      </c>
      <c r="B237" t="s">
        <v>600</v>
      </c>
      <c r="C237" t="s">
        <v>485</v>
      </c>
      <c r="D237" t="s">
        <v>12</v>
      </c>
      <c r="E237" t="s">
        <v>601</v>
      </c>
    </row>
    <row r="238" spans="1:5" x14ac:dyDescent="0.35">
      <c r="A238" t="s">
        <v>1226</v>
      </c>
      <c r="B238" t="s">
        <v>602</v>
      </c>
      <c r="C238" t="s">
        <v>259</v>
      </c>
      <c r="D238" t="s">
        <v>20</v>
      </c>
      <c r="E238" t="s">
        <v>603</v>
      </c>
    </row>
    <row r="239" spans="1:5" x14ac:dyDescent="0.35">
      <c r="A239" t="s">
        <v>1226</v>
      </c>
      <c r="B239" t="s">
        <v>604</v>
      </c>
      <c r="C239" t="s">
        <v>96</v>
      </c>
      <c r="D239" t="s">
        <v>59</v>
      </c>
      <c r="E239" t="s">
        <v>605</v>
      </c>
    </row>
    <row r="240" spans="1:5" x14ac:dyDescent="0.35">
      <c r="A240" t="s">
        <v>1226</v>
      </c>
      <c r="B240" t="s">
        <v>604</v>
      </c>
      <c r="C240" t="s">
        <v>606</v>
      </c>
      <c r="D240" t="s">
        <v>59</v>
      </c>
      <c r="E240" t="s">
        <v>607</v>
      </c>
    </row>
    <row r="241" spans="1:5" x14ac:dyDescent="0.35">
      <c r="A241" t="s">
        <v>1226</v>
      </c>
      <c r="B241" t="s">
        <v>608</v>
      </c>
      <c r="C241" t="s">
        <v>609</v>
      </c>
      <c r="D241" t="s">
        <v>20</v>
      </c>
      <c r="E241" t="s">
        <v>610</v>
      </c>
    </row>
    <row r="242" spans="1:5" x14ac:dyDescent="0.35">
      <c r="A242" t="s">
        <v>1226</v>
      </c>
      <c r="B242" t="s">
        <v>611</v>
      </c>
      <c r="C242" t="s">
        <v>612</v>
      </c>
      <c r="D242" t="s">
        <v>59</v>
      </c>
      <c r="E242" t="s">
        <v>613</v>
      </c>
    </row>
    <row r="243" spans="1:5" x14ac:dyDescent="0.35">
      <c r="A243" t="s">
        <v>1226</v>
      </c>
      <c r="B243" t="s">
        <v>614</v>
      </c>
      <c r="C243" t="s">
        <v>259</v>
      </c>
      <c r="D243" t="s">
        <v>20</v>
      </c>
      <c r="E243" t="s">
        <v>615</v>
      </c>
    </row>
    <row r="244" spans="1:5" x14ac:dyDescent="0.35">
      <c r="A244" t="s">
        <v>1226</v>
      </c>
      <c r="B244" t="s">
        <v>616</v>
      </c>
      <c r="C244" t="s">
        <v>496</v>
      </c>
      <c r="D244" t="s">
        <v>59</v>
      </c>
      <c r="E244" t="s">
        <v>617</v>
      </c>
    </row>
    <row r="245" spans="1:5" x14ac:dyDescent="0.35">
      <c r="A245" t="s">
        <v>1226</v>
      </c>
      <c r="B245" t="s">
        <v>616</v>
      </c>
      <c r="C245" t="s">
        <v>618</v>
      </c>
      <c r="D245" t="s">
        <v>59</v>
      </c>
      <c r="E245" t="s">
        <v>619</v>
      </c>
    </row>
    <row r="246" spans="1:5" x14ac:dyDescent="0.35">
      <c r="A246" t="s">
        <v>1226</v>
      </c>
      <c r="B246" t="s">
        <v>620</v>
      </c>
      <c r="C246" t="s">
        <v>259</v>
      </c>
      <c r="D246" t="s">
        <v>20</v>
      </c>
      <c r="E246" t="s">
        <v>621</v>
      </c>
    </row>
    <row r="247" spans="1:5" x14ac:dyDescent="0.35">
      <c r="A247" t="s">
        <v>1226</v>
      </c>
      <c r="B247" t="s">
        <v>620</v>
      </c>
      <c r="C247" t="s">
        <v>622</v>
      </c>
      <c r="D247" t="s">
        <v>12</v>
      </c>
      <c r="E247" t="s">
        <v>623</v>
      </c>
    </row>
    <row r="248" spans="1:5" x14ac:dyDescent="0.35">
      <c r="A248" t="s">
        <v>1226</v>
      </c>
      <c r="B248" t="s">
        <v>624</v>
      </c>
      <c r="C248" t="s">
        <v>346</v>
      </c>
      <c r="D248" t="s">
        <v>59</v>
      </c>
      <c r="E248" t="s">
        <v>625</v>
      </c>
    </row>
    <row r="249" spans="1:5" x14ac:dyDescent="0.35">
      <c r="A249" t="s">
        <v>1226</v>
      </c>
      <c r="B249" t="s">
        <v>626</v>
      </c>
      <c r="C249" t="s">
        <v>246</v>
      </c>
      <c r="D249" t="s">
        <v>20</v>
      </c>
      <c r="E249" t="s">
        <v>627</v>
      </c>
    </row>
    <row r="250" spans="1:5" x14ac:dyDescent="0.35">
      <c r="A250" t="s">
        <v>1226</v>
      </c>
      <c r="B250" t="s">
        <v>628</v>
      </c>
      <c r="C250" t="s">
        <v>629</v>
      </c>
      <c r="D250" t="s">
        <v>59</v>
      </c>
      <c r="E250" t="s">
        <v>630</v>
      </c>
    </row>
    <row r="251" spans="1:5" x14ac:dyDescent="0.35">
      <c r="A251" t="s">
        <v>1226</v>
      </c>
      <c r="B251" t="s">
        <v>631</v>
      </c>
      <c r="C251" t="s">
        <v>485</v>
      </c>
      <c r="D251" t="s">
        <v>59</v>
      </c>
      <c r="E251" t="s">
        <v>632</v>
      </c>
    </row>
    <row r="252" spans="1:5" x14ac:dyDescent="0.35">
      <c r="A252" t="s">
        <v>1226</v>
      </c>
      <c r="B252" t="s">
        <v>633</v>
      </c>
      <c r="C252" t="s">
        <v>225</v>
      </c>
      <c r="D252" t="s">
        <v>59</v>
      </c>
      <c r="E252" t="s">
        <v>634</v>
      </c>
    </row>
    <row r="253" spans="1:5" x14ac:dyDescent="0.35">
      <c r="A253" t="s">
        <v>1226</v>
      </c>
      <c r="B253" t="s">
        <v>635</v>
      </c>
      <c r="C253" t="s">
        <v>346</v>
      </c>
      <c r="D253" t="s">
        <v>59</v>
      </c>
      <c r="E253" t="s">
        <v>636</v>
      </c>
    </row>
    <row r="254" spans="1:5" x14ac:dyDescent="0.35">
      <c r="A254" t="s">
        <v>1226</v>
      </c>
      <c r="B254" t="s">
        <v>637</v>
      </c>
      <c r="C254" t="s">
        <v>259</v>
      </c>
      <c r="D254" t="s">
        <v>30</v>
      </c>
      <c r="E254" t="s">
        <v>638</v>
      </c>
    </row>
    <row r="255" spans="1:5" x14ac:dyDescent="0.35">
      <c r="A255" t="s">
        <v>1226</v>
      </c>
      <c r="B255" t="s">
        <v>639</v>
      </c>
      <c r="C255" t="s">
        <v>640</v>
      </c>
      <c r="D255" t="s">
        <v>30</v>
      </c>
      <c r="E255" t="s">
        <v>641</v>
      </c>
    </row>
    <row r="256" spans="1:5" x14ac:dyDescent="0.35">
      <c r="A256" t="s">
        <v>1226</v>
      </c>
      <c r="B256" t="s">
        <v>639</v>
      </c>
      <c r="C256" t="s">
        <v>642</v>
      </c>
      <c r="D256" t="s">
        <v>30</v>
      </c>
      <c r="E256" t="s">
        <v>641</v>
      </c>
    </row>
    <row r="257" spans="1:5" x14ac:dyDescent="0.35">
      <c r="A257" t="s">
        <v>1226</v>
      </c>
      <c r="B257" t="s">
        <v>639</v>
      </c>
      <c r="C257" t="s">
        <v>643</v>
      </c>
      <c r="D257" t="s">
        <v>59</v>
      </c>
      <c r="E257" t="s">
        <v>644</v>
      </c>
    </row>
    <row r="258" spans="1:5" x14ac:dyDescent="0.35">
      <c r="A258" t="s">
        <v>1226</v>
      </c>
      <c r="B258" t="s">
        <v>645</v>
      </c>
      <c r="C258" t="s">
        <v>259</v>
      </c>
      <c r="D258" t="s">
        <v>20</v>
      </c>
      <c r="E258" t="s">
        <v>646</v>
      </c>
    </row>
    <row r="259" spans="1:5" x14ac:dyDescent="0.35">
      <c r="A259" t="s">
        <v>1226</v>
      </c>
      <c r="B259" t="s">
        <v>645</v>
      </c>
      <c r="C259" t="s">
        <v>647</v>
      </c>
      <c r="D259" t="s">
        <v>20</v>
      </c>
      <c r="E259" t="s">
        <v>648</v>
      </c>
    </row>
    <row r="260" spans="1:5" x14ac:dyDescent="0.35">
      <c r="A260" t="s">
        <v>1226</v>
      </c>
      <c r="B260" t="s">
        <v>649</v>
      </c>
      <c r="C260" t="s">
        <v>259</v>
      </c>
      <c r="D260" t="s">
        <v>20</v>
      </c>
      <c r="E260" t="s">
        <v>650</v>
      </c>
    </row>
    <row r="261" spans="1:5" x14ac:dyDescent="0.35">
      <c r="A261" t="s">
        <v>1226</v>
      </c>
      <c r="B261" t="s">
        <v>651</v>
      </c>
      <c r="C261" t="s">
        <v>209</v>
      </c>
      <c r="D261" t="s">
        <v>30</v>
      </c>
      <c r="E261" t="s">
        <v>652</v>
      </c>
    </row>
    <row r="262" spans="1:5" x14ac:dyDescent="0.35">
      <c r="A262" t="s">
        <v>1226</v>
      </c>
      <c r="B262" t="s">
        <v>653</v>
      </c>
      <c r="C262" t="s">
        <v>403</v>
      </c>
      <c r="D262" t="s">
        <v>59</v>
      </c>
      <c r="E262" t="s">
        <v>654</v>
      </c>
    </row>
    <row r="263" spans="1:5" x14ac:dyDescent="0.35">
      <c r="A263" t="s">
        <v>1226</v>
      </c>
      <c r="B263" t="s">
        <v>655</v>
      </c>
      <c r="C263" t="s">
        <v>656</v>
      </c>
      <c r="D263" t="s">
        <v>20</v>
      </c>
      <c r="E263" t="s">
        <v>657</v>
      </c>
    </row>
    <row r="264" spans="1:5" x14ac:dyDescent="0.35">
      <c r="A264" t="s">
        <v>1226</v>
      </c>
      <c r="B264" t="s">
        <v>658</v>
      </c>
      <c r="C264" t="s">
        <v>225</v>
      </c>
      <c r="D264" t="s">
        <v>59</v>
      </c>
      <c r="E264" t="s">
        <v>659</v>
      </c>
    </row>
    <row r="265" spans="1:5" x14ac:dyDescent="0.35">
      <c r="A265" t="s">
        <v>1226</v>
      </c>
      <c r="B265" t="s">
        <v>660</v>
      </c>
      <c r="C265" t="s">
        <v>661</v>
      </c>
      <c r="D265" t="s">
        <v>59</v>
      </c>
      <c r="E265" t="s">
        <v>662</v>
      </c>
    </row>
    <row r="266" spans="1:5" x14ac:dyDescent="0.35">
      <c r="A266" t="s">
        <v>1226</v>
      </c>
      <c r="B266" t="s">
        <v>660</v>
      </c>
      <c r="C266" t="s">
        <v>663</v>
      </c>
      <c r="D266" t="s">
        <v>59</v>
      </c>
      <c r="E266" t="s">
        <v>662</v>
      </c>
    </row>
    <row r="267" spans="1:5" x14ac:dyDescent="0.35">
      <c r="A267" t="s">
        <v>1226</v>
      </c>
      <c r="B267" t="s">
        <v>664</v>
      </c>
      <c r="C267" t="s">
        <v>259</v>
      </c>
      <c r="D267" t="s">
        <v>30</v>
      </c>
      <c r="E267" t="s">
        <v>665</v>
      </c>
    </row>
    <row r="268" spans="1:5" x14ac:dyDescent="0.35">
      <c r="A268" t="s">
        <v>1226</v>
      </c>
      <c r="B268" t="s">
        <v>666</v>
      </c>
      <c r="C268" t="s">
        <v>667</v>
      </c>
      <c r="D268" t="s">
        <v>59</v>
      </c>
      <c r="E268" t="s">
        <v>668</v>
      </c>
    </row>
    <row r="269" spans="1:5" x14ac:dyDescent="0.35">
      <c r="A269" t="s">
        <v>1226</v>
      </c>
      <c r="B269" t="s">
        <v>669</v>
      </c>
      <c r="C269" t="s">
        <v>517</v>
      </c>
      <c r="D269" t="s">
        <v>30</v>
      </c>
      <c r="E269" t="s">
        <v>670</v>
      </c>
    </row>
    <row r="270" spans="1:5" x14ac:dyDescent="0.35">
      <c r="A270" t="s">
        <v>1226</v>
      </c>
      <c r="B270" t="s">
        <v>669</v>
      </c>
      <c r="C270" t="s">
        <v>671</v>
      </c>
      <c r="D270" t="s">
        <v>30</v>
      </c>
      <c r="E270" t="s">
        <v>672</v>
      </c>
    </row>
    <row r="271" spans="1:5" x14ac:dyDescent="0.35">
      <c r="A271" t="s">
        <v>1226</v>
      </c>
      <c r="B271" t="s">
        <v>673</v>
      </c>
      <c r="C271" t="s">
        <v>259</v>
      </c>
      <c r="D271" t="s">
        <v>20</v>
      </c>
      <c r="E271" t="s">
        <v>674</v>
      </c>
    </row>
    <row r="272" spans="1:5" x14ac:dyDescent="0.35">
      <c r="A272" t="s">
        <v>1226</v>
      </c>
      <c r="B272" t="s">
        <v>675</v>
      </c>
      <c r="C272" t="s">
        <v>259</v>
      </c>
      <c r="D272" t="s">
        <v>20</v>
      </c>
      <c r="E272" t="s">
        <v>676</v>
      </c>
    </row>
    <row r="273" spans="1:5" x14ac:dyDescent="0.35">
      <c r="A273" t="s">
        <v>1226</v>
      </c>
      <c r="B273" t="s">
        <v>677</v>
      </c>
      <c r="C273" t="s">
        <v>678</v>
      </c>
      <c r="D273" t="s">
        <v>59</v>
      </c>
      <c r="E273" t="s">
        <v>679</v>
      </c>
    </row>
    <row r="274" spans="1:5" x14ac:dyDescent="0.35">
      <c r="A274" t="s">
        <v>1226</v>
      </c>
      <c r="B274" t="s">
        <v>680</v>
      </c>
      <c r="C274" t="s">
        <v>681</v>
      </c>
      <c r="D274" t="s">
        <v>59</v>
      </c>
      <c r="E274" t="s">
        <v>682</v>
      </c>
    </row>
    <row r="275" spans="1:5" x14ac:dyDescent="0.35">
      <c r="A275" t="s">
        <v>1226</v>
      </c>
      <c r="B275" t="s">
        <v>683</v>
      </c>
      <c r="C275" t="s">
        <v>684</v>
      </c>
      <c r="D275" t="s">
        <v>59</v>
      </c>
      <c r="E275" t="s">
        <v>685</v>
      </c>
    </row>
    <row r="276" spans="1:5" x14ac:dyDescent="0.35">
      <c r="A276" t="s">
        <v>1226</v>
      </c>
      <c r="B276" t="s">
        <v>686</v>
      </c>
      <c r="C276" t="s">
        <v>687</v>
      </c>
      <c r="D276" t="s">
        <v>20</v>
      </c>
      <c r="E276" t="s">
        <v>688</v>
      </c>
    </row>
    <row r="277" spans="1:5" x14ac:dyDescent="0.35">
      <c r="A277" t="s">
        <v>1226</v>
      </c>
      <c r="B277" t="s">
        <v>689</v>
      </c>
      <c r="C277" t="s">
        <v>690</v>
      </c>
      <c r="D277" t="s">
        <v>59</v>
      </c>
      <c r="E277" t="s">
        <v>691</v>
      </c>
    </row>
    <row r="278" spans="1:5" x14ac:dyDescent="0.35">
      <c r="A278" t="s">
        <v>1226</v>
      </c>
      <c r="B278" t="s">
        <v>692</v>
      </c>
      <c r="C278" t="s">
        <v>693</v>
      </c>
      <c r="D278" t="s">
        <v>59</v>
      </c>
      <c r="E278" t="s">
        <v>694</v>
      </c>
    </row>
    <row r="279" spans="1:5" x14ac:dyDescent="0.35">
      <c r="A279" t="s">
        <v>1226</v>
      </c>
      <c r="B279" t="s">
        <v>695</v>
      </c>
      <c r="C279" t="s">
        <v>696</v>
      </c>
      <c r="D279" t="s">
        <v>30</v>
      </c>
      <c r="E279" t="s">
        <v>697</v>
      </c>
    </row>
    <row r="280" spans="1:5" x14ac:dyDescent="0.35">
      <c r="A280" t="s">
        <v>1226</v>
      </c>
      <c r="B280" t="s">
        <v>695</v>
      </c>
      <c r="C280" t="s">
        <v>698</v>
      </c>
      <c r="D280" t="s">
        <v>30</v>
      </c>
      <c r="E280" t="s">
        <v>699</v>
      </c>
    </row>
    <row r="281" spans="1:5" x14ac:dyDescent="0.35">
      <c r="A281" t="s">
        <v>1226</v>
      </c>
      <c r="B281" t="s">
        <v>700</v>
      </c>
      <c r="C281" t="s">
        <v>701</v>
      </c>
      <c r="D281" t="s">
        <v>59</v>
      </c>
      <c r="E281" t="s">
        <v>702</v>
      </c>
    </row>
    <row r="282" spans="1:5" x14ac:dyDescent="0.35">
      <c r="A282" t="s">
        <v>1226</v>
      </c>
      <c r="B282" t="s">
        <v>703</v>
      </c>
      <c r="C282" t="s">
        <v>704</v>
      </c>
      <c r="D282" t="s">
        <v>59</v>
      </c>
      <c r="E282" t="s">
        <v>705</v>
      </c>
    </row>
    <row r="283" spans="1:5" x14ac:dyDescent="0.35">
      <c r="A283" t="s">
        <v>1226</v>
      </c>
      <c r="B283" t="s">
        <v>706</v>
      </c>
      <c r="C283" t="s">
        <v>225</v>
      </c>
      <c r="D283" t="s">
        <v>20</v>
      </c>
      <c r="E283" t="s">
        <v>707</v>
      </c>
    </row>
    <row r="284" spans="1:5" x14ac:dyDescent="0.35">
      <c r="A284" t="s">
        <v>1226</v>
      </c>
      <c r="B284" t="s">
        <v>708</v>
      </c>
      <c r="C284" t="s">
        <v>709</v>
      </c>
      <c r="D284" t="s">
        <v>59</v>
      </c>
      <c r="E284" t="s">
        <v>710</v>
      </c>
    </row>
    <row r="285" spans="1:5" x14ac:dyDescent="0.35">
      <c r="A285" t="s">
        <v>1226</v>
      </c>
      <c r="B285" t="s">
        <v>711</v>
      </c>
      <c r="C285" t="s">
        <v>455</v>
      </c>
      <c r="D285" t="s">
        <v>59</v>
      </c>
      <c r="E285" t="s">
        <v>712</v>
      </c>
    </row>
    <row r="286" spans="1:5" x14ac:dyDescent="0.35">
      <c r="A286" t="s">
        <v>1226</v>
      </c>
      <c r="B286" t="s">
        <v>713</v>
      </c>
      <c r="C286" t="s">
        <v>259</v>
      </c>
      <c r="D286" t="s">
        <v>20</v>
      </c>
      <c r="E286" t="s">
        <v>714</v>
      </c>
    </row>
    <row r="287" spans="1:5" x14ac:dyDescent="0.35">
      <c r="A287" t="s">
        <v>1226</v>
      </c>
      <c r="B287" t="s">
        <v>713</v>
      </c>
      <c r="C287" t="s">
        <v>715</v>
      </c>
      <c r="D287" t="s">
        <v>12</v>
      </c>
      <c r="E287" t="s">
        <v>716</v>
      </c>
    </row>
    <row r="288" spans="1:5" x14ac:dyDescent="0.35">
      <c r="A288" t="s">
        <v>1226</v>
      </c>
      <c r="B288" t="s">
        <v>717</v>
      </c>
      <c r="C288" t="s">
        <v>225</v>
      </c>
      <c r="D288" t="s">
        <v>59</v>
      </c>
      <c r="E288" t="s">
        <v>718</v>
      </c>
    </row>
    <row r="289" spans="1:5" x14ac:dyDescent="0.35">
      <c r="A289" t="s">
        <v>1226</v>
      </c>
      <c r="B289" t="s">
        <v>719</v>
      </c>
      <c r="C289" t="s">
        <v>209</v>
      </c>
      <c r="D289" t="s">
        <v>30</v>
      </c>
      <c r="E289" t="s">
        <v>720</v>
      </c>
    </row>
    <row r="290" spans="1:5" x14ac:dyDescent="0.35">
      <c r="A290" t="s">
        <v>1226</v>
      </c>
      <c r="B290" t="s">
        <v>719</v>
      </c>
      <c r="C290" t="s">
        <v>494</v>
      </c>
      <c r="D290" t="s">
        <v>30</v>
      </c>
      <c r="E290" t="s">
        <v>720</v>
      </c>
    </row>
    <row r="291" spans="1:5" x14ac:dyDescent="0.35">
      <c r="A291" t="s">
        <v>1226</v>
      </c>
      <c r="B291" t="s">
        <v>721</v>
      </c>
      <c r="C291" t="s">
        <v>722</v>
      </c>
      <c r="D291" t="s">
        <v>20</v>
      </c>
      <c r="E291" t="s">
        <v>723</v>
      </c>
    </row>
    <row r="292" spans="1:5" x14ac:dyDescent="0.35">
      <c r="A292" t="s">
        <v>1226</v>
      </c>
      <c r="B292" t="s">
        <v>721</v>
      </c>
      <c r="C292" t="s">
        <v>724</v>
      </c>
      <c r="D292" t="s">
        <v>20</v>
      </c>
      <c r="E292" t="s">
        <v>725</v>
      </c>
    </row>
    <row r="293" spans="1:5" x14ac:dyDescent="0.35">
      <c r="A293" t="s">
        <v>1226</v>
      </c>
      <c r="B293" t="s">
        <v>252</v>
      </c>
      <c r="C293" t="s">
        <v>240</v>
      </c>
      <c r="D293" t="s">
        <v>20</v>
      </c>
      <c r="E293" t="s">
        <v>726</v>
      </c>
    </row>
    <row r="294" spans="1:5" x14ac:dyDescent="0.35">
      <c r="A294" t="s">
        <v>1226</v>
      </c>
      <c r="B294" t="s">
        <v>727</v>
      </c>
      <c r="C294" t="s">
        <v>259</v>
      </c>
      <c r="D294" t="s">
        <v>20</v>
      </c>
      <c r="E294" t="s">
        <v>728</v>
      </c>
    </row>
    <row r="295" spans="1:5" x14ac:dyDescent="0.35">
      <c r="A295" t="s">
        <v>1226</v>
      </c>
      <c r="B295" t="s">
        <v>729</v>
      </c>
      <c r="C295" t="s">
        <v>730</v>
      </c>
      <c r="D295" t="s">
        <v>20</v>
      </c>
      <c r="E295" t="s">
        <v>731</v>
      </c>
    </row>
    <row r="296" spans="1:5" x14ac:dyDescent="0.35">
      <c r="A296" t="s">
        <v>1226</v>
      </c>
      <c r="B296" t="s">
        <v>729</v>
      </c>
      <c r="C296" t="s">
        <v>732</v>
      </c>
      <c r="D296" t="s">
        <v>20</v>
      </c>
      <c r="E296" t="s">
        <v>733</v>
      </c>
    </row>
    <row r="297" spans="1:5" x14ac:dyDescent="0.35">
      <c r="A297" t="s">
        <v>1226</v>
      </c>
      <c r="B297" t="s">
        <v>729</v>
      </c>
      <c r="C297" t="s">
        <v>734</v>
      </c>
      <c r="D297" t="s">
        <v>20</v>
      </c>
      <c r="E297" t="s">
        <v>735</v>
      </c>
    </row>
    <row r="298" spans="1:5" x14ac:dyDescent="0.35">
      <c r="A298" t="s">
        <v>1226</v>
      </c>
      <c r="B298" t="s">
        <v>736</v>
      </c>
      <c r="C298" t="s">
        <v>225</v>
      </c>
      <c r="D298" t="s">
        <v>59</v>
      </c>
      <c r="E298" t="s">
        <v>737</v>
      </c>
    </row>
    <row r="299" spans="1:5" x14ac:dyDescent="0.35">
      <c r="A299" t="s">
        <v>1226</v>
      </c>
      <c r="B299" t="s">
        <v>736</v>
      </c>
      <c r="C299" t="s">
        <v>738</v>
      </c>
      <c r="D299" t="s">
        <v>59</v>
      </c>
      <c r="E299" t="s">
        <v>739</v>
      </c>
    </row>
    <row r="300" spans="1:5" x14ac:dyDescent="0.35">
      <c r="A300" t="s">
        <v>1226</v>
      </c>
      <c r="B300" t="s">
        <v>740</v>
      </c>
      <c r="C300" t="s">
        <v>741</v>
      </c>
      <c r="D300" t="s">
        <v>20</v>
      </c>
      <c r="E300" t="s">
        <v>742</v>
      </c>
    </row>
    <row r="301" spans="1:5" x14ac:dyDescent="0.35">
      <c r="A301" t="s">
        <v>1226</v>
      </c>
      <c r="B301" t="s">
        <v>740</v>
      </c>
      <c r="C301" t="s">
        <v>743</v>
      </c>
      <c r="D301" t="s">
        <v>59</v>
      </c>
      <c r="E301" t="s">
        <v>744</v>
      </c>
    </row>
    <row r="302" spans="1:5" x14ac:dyDescent="0.35">
      <c r="A302" t="s">
        <v>1226</v>
      </c>
      <c r="B302" t="s">
        <v>745</v>
      </c>
      <c r="C302" t="s">
        <v>259</v>
      </c>
      <c r="D302" t="s">
        <v>59</v>
      </c>
      <c r="E302" t="s">
        <v>746</v>
      </c>
    </row>
    <row r="303" spans="1:5" x14ac:dyDescent="0.35">
      <c r="A303" t="s">
        <v>1226</v>
      </c>
      <c r="B303" t="s">
        <v>747</v>
      </c>
      <c r="C303" t="s">
        <v>748</v>
      </c>
      <c r="D303" t="s">
        <v>59</v>
      </c>
      <c r="E303" t="s">
        <v>749</v>
      </c>
    </row>
    <row r="304" spans="1:5" x14ac:dyDescent="0.35">
      <c r="A304" t="s">
        <v>1226</v>
      </c>
      <c r="B304" t="s">
        <v>747</v>
      </c>
      <c r="C304" t="s">
        <v>750</v>
      </c>
      <c r="D304" t="s">
        <v>20</v>
      </c>
      <c r="E304" t="s">
        <v>751</v>
      </c>
    </row>
    <row r="305" spans="1:5" x14ac:dyDescent="0.35">
      <c r="A305" t="s">
        <v>1226</v>
      </c>
      <c r="B305" t="s">
        <v>752</v>
      </c>
      <c r="C305" t="s">
        <v>225</v>
      </c>
      <c r="D305" t="s">
        <v>59</v>
      </c>
      <c r="E305" t="s">
        <v>753</v>
      </c>
    </row>
    <row r="306" spans="1:5" x14ac:dyDescent="0.35">
      <c r="A306" t="s">
        <v>1226</v>
      </c>
      <c r="B306" t="s">
        <v>754</v>
      </c>
      <c r="C306" t="s">
        <v>755</v>
      </c>
      <c r="D306" t="s">
        <v>20</v>
      </c>
      <c r="E306" t="s">
        <v>756</v>
      </c>
    </row>
    <row r="307" spans="1:5" x14ac:dyDescent="0.35">
      <c r="A307" t="s">
        <v>1226</v>
      </c>
      <c r="B307" t="s">
        <v>757</v>
      </c>
      <c r="C307" t="s">
        <v>704</v>
      </c>
      <c r="D307" t="s">
        <v>12</v>
      </c>
      <c r="E307" t="s">
        <v>758</v>
      </c>
    </row>
    <row r="308" spans="1:5" x14ac:dyDescent="0.35">
      <c r="A308" t="s">
        <v>1226</v>
      </c>
      <c r="B308" t="s">
        <v>759</v>
      </c>
      <c r="C308" t="s">
        <v>687</v>
      </c>
      <c r="D308" t="s">
        <v>20</v>
      </c>
      <c r="E308" t="s">
        <v>760</v>
      </c>
    </row>
    <row r="309" spans="1:5" x14ac:dyDescent="0.35">
      <c r="A309" t="s">
        <v>1226</v>
      </c>
      <c r="B309" t="s">
        <v>761</v>
      </c>
      <c r="C309" t="s">
        <v>762</v>
      </c>
      <c r="D309" t="s">
        <v>12</v>
      </c>
      <c r="E309" t="s">
        <v>763</v>
      </c>
    </row>
    <row r="310" spans="1:5" x14ac:dyDescent="0.35">
      <c r="A310" t="s">
        <v>1226</v>
      </c>
      <c r="B310" t="s">
        <v>761</v>
      </c>
      <c r="C310" t="s">
        <v>455</v>
      </c>
      <c r="D310" t="s">
        <v>59</v>
      </c>
      <c r="E310" t="s">
        <v>764</v>
      </c>
    </row>
    <row r="311" spans="1:5" x14ac:dyDescent="0.35">
      <c r="A311" t="s">
        <v>1226</v>
      </c>
      <c r="B311" t="s">
        <v>765</v>
      </c>
      <c r="C311" t="s">
        <v>259</v>
      </c>
      <c r="D311" t="s">
        <v>20</v>
      </c>
      <c r="E311" t="s">
        <v>766</v>
      </c>
    </row>
    <row r="312" spans="1:5" x14ac:dyDescent="0.35">
      <c r="A312" t="s">
        <v>1226</v>
      </c>
      <c r="B312" t="s">
        <v>765</v>
      </c>
      <c r="C312" t="s">
        <v>767</v>
      </c>
      <c r="D312" t="s">
        <v>59</v>
      </c>
      <c r="E312" t="s">
        <v>768</v>
      </c>
    </row>
    <row r="313" spans="1:5" x14ac:dyDescent="0.35">
      <c r="A313" t="s">
        <v>1226</v>
      </c>
      <c r="B313" t="s">
        <v>769</v>
      </c>
      <c r="C313" t="s">
        <v>770</v>
      </c>
      <c r="D313" t="s">
        <v>30</v>
      </c>
      <c r="E313" t="s">
        <v>771</v>
      </c>
    </row>
    <row r="314" spans="1:5" x14ac:dyDescent="0.35">
      <c r="A314" t="s">
        <v>1226</v>
      </c>
      <c r="B314" t="s">
        <v>772</v>
      </c>
      <c r="C314" t="s">
        <v>773</v>
      </c>
      <c r="D314" t="s">
        <v>59</v>
      </c>
      <c r="E314" t="s">
        <v>774</v>
      </c>
    </row>
    <row r="315" spans="1:5" x14ac:dyDescent="0.35">
      <c r="A315" t="s">
        <v>1226</v>
      </c>
      <c r="B315" t="s">
        <v>775</v>
      </c>
      <c r="C315" t="s">
        <v>259</v>
      </c>
      <c r="D315" t="s">
        <v>20</v>
      </c>
      <c r="E315" t="s">
        <v>776</v>
      </c>
    </row>
    <row r="316" spans="1:5" x14ac:dyDescent="0.35">
      <c r="A316" t="s">
        <v>1226</v>
      </c>
      <c r="B316" t="s">
        <v>777</v>
      </c>
      <c r="C316" t="s">
        <v>485</v>
      </c>
      <c r="D316" t="s">
        <v>59</v>
      </c>
      <c r="E316" t="s">
        <v>778</v>
      </c>
    </row>
    <row r="317" spans="1:5" x14ac:dyDescent="0.35">
      <c r="A317" t="s">
        <v>1226</v>
      </c>
      <c r="B317" t="s">
        <v>779</v>
      </c>
      <c r="C317" t="s">
        <v>259</v>
      </c>
      <c r="D317" t="s">
        <v>20</v>
      </c>
      <c r="E317" t="s">
        <v>780</v>
      </c>
    </row>
    <row r="318" spans="1:5" x14ac:dyDescent="0.35">
      <c r="A318" t="s">
        <v>1226</v>
      </c>
      <c r="B318" t="s">
        <v>779</v>
      </c>
      <c r="C318" t="s">
        <v>781</v>
      </c>
      <c r="D318" t="s">
        <v>59</v>
      </c>
      <c r="E318" t="s">
        <v>782</v>
      </c>
    </row>
    <row r="319" spans="1:5" x14ac:dyDescent="0.35">
      <c r="A319" t="s">
        <v>1226</v>
      </c>
      <c r="B319" t="s">
        <v>783</v>
      </c>
      <c r="C319" t="s">
        <v>784</v>
      </c>
      <c r="D319" t="s">
        <v>59</v>
      </c>
      <c r="E319" t="s">
        <v>785</v>
      </c>
    </row>
    <row r="320" spans="1:5" x14ac:dyDescent="0.35">
      <c r="A320" t="s">
        <v>1226</v>
      </c>
      <c r="B320" t="s">
        <v>786</v>
      </c>
      <c r="C320" t="s">
        <v>259</v>
      </c>
      <c r="D320" t="s">
        <v>59</v>
      </c>
      <c r="E320" t="s">
        <v>787</v>
      </c>
    </row>
    <row r="321" spans="1:5" x14ac:dyDescent="0.35">
      <c r="A321" t="s">
        <v>1226</v>
      </c>
      <c r="B321" t="s">
        <v>788</v>
      </c>
      <c r="C321" t="s">
        <v>246</v>
      </c>
      <c r="D321" t="s">
        <v>59</v>
      </c>
      <c r="E321" t="s">
        <v>789</v>
      </c>
    </row>
    <row r="322" spans="1:5" x14ac:dyDescent="0.35">
      <c r="A322" t="s">
        <v>1226</v>
      </c>
      <c r="B322" t="s">
        <v>790</v>
      </c>
      <c r="C322" t="s">
        <v>259</v>
      </c>
      <c r="D322" t="s">
        <v>20</v>
      </c>
      <c r="E322" t="s">
        <v>791</v>
      </c>
    </row>
    <row r="323" spans="1:5" x14ac:dyDescent="0.35">
      <c r="A323" t="s">
        <v>1226</v>
      </c>
      <c r="B323" t="s">
        <v>792</v>
      </c>
      <c r="C323" t="s">
        <v>793</v>
      </c>
      <c r="D323" t="s">
        <v>59</v>
      </c>
      <c r="E323" t="s">
        <v>794</v>
      </c>
    </row>
    <row r="324" spans="1:5" x14ac:dyDescent="0.35">
      <c r="A324" t="s">
        <v>1226</v>
      </c>
      <c r="B324" t="s">
        <v>795</v>
      </c>
      <c r="C324" t="s">
        <v>259</v>
      </c>
      <c r="D324" t="s">
        <v>20</v>
      </c>
      <c r="E324" t="s">
        <v>796</v>
      </c>
    </row>
    <row r="325" spans="1:5" x14ac:dyDescent="0.35">
      <c r="A325" t="s">
        <v>1226</v>
      </c>
      <c r="B325" t="s">
        <v>797</v>
      </c>
      <c r="C325" t="s">
        <v>798</v>
      </c>
      <c r="D325" t="s">
        <v>20</v>
      </c>
      <c r="E325" t="s">
        <v>799</v>
      </c>
    </row>
    <row r="326" spans="1:5" x14ac:dyDescent="0.35">
      <c r="A326" t="s">
        <v>1226</v>
      </c>
      <c r="B326" t="s">
        <v>800</v>
      </c>
      <c r="C326" t="s">
        <v>259</v>
      </c>
      <c r="D326" t="s">
        <v>20</v>
      </c>
      <c r="E326" t="s">
        <v>801</v>
      </c>
    </row>
    <row r="327" spans="1:5" x14ac:dyDescent="0.35">
      <c r="A327" t="s">
        <v>1227</v>
      </c>
      <c r="B327" t="s">
        <v>802</v>
      </c>
      <c r="C327" t="s">
        <v>803</v>
      </c>
      <c r="D327" t="s">
        <v>59</v>
      </c>
      <c r="E327" t="s">
        <v>804</v>
      </c>
    </row>
    <row r="328" spans="1:5" x14ac:dyDescent="0.35">
      <c r="A328" t="s">
        <v>1227</v>
      </c>
      <c r="B328" t="s">
        <v>805</v>
      </c>
      <c r="C328" t="s">
        <v>346</v>
      </c>
      <c r="D328" t="s">
        <v>59</v>
      </c>
      <c r="E328" t="s">
        <v>806</v>
      </c>
    </row>
    <row r="329" spans="1:5" x14ac:dyDescent="0.35">
      <c r="A329" t="s">
        <v>1227</v>
      </c>
      <c r="B329" t="s">
        <v>807</v>
      </c>
      <c r="C329" t="s">
        <v>346</v>
      </c>
      <c r="D329" t="s">
        <v>59</v>
      </c>
      <c r="E329" t="s">
        <v>808</v>
      </c>
    </row>
    <row r="330" spans="1:5" x14ac:dyDescent="0.35">
      <c r="A330" t="s">
        <v>1227</v>
      </c>
      <c r="B330" t="s">
        <v>809</v>
      </c>
      <c r="C330" t="s">
        <v>130</v>
      </c>
      <c r="D330" t="s">
        <v>59</v>
      </c>
      <c r="E330" t="s">
        <v>810</v>
      </c>
    </row>
    <row r="331" spans="1:5" x14ac:dyDescent="0.35">
      <c r="A331" t="s">
        <v>1227</v>
      </c>
      <c r="B331" t="s">
        <v>811</v>
      </c>
      <c r="C331" t="s">
        <v>225</v>
      </c>
      <c r="D331" t="s">
        <v>59</v>
      </c>
      <c r="E331" t="s">
        <v>812</v>
      </c>
    </row>
    <row r="332" spans="1:5" x14ac:dyDescent="0.35">
      <c r="A332" t="s">
        <v>1227</v>
      </c>
      <c r="B332" t="s">
        <v>813</v>
      </c>
      <c r="C332" t="s">
        <v>225</v>
      </c>
      <c r="D332" t="s">
        <v>59</v>
      </c>
      <c r="E332" t="s">
        <v>814</v>
      </c>
    </row>
    <row r="333" spans="1:5" x14ac:dyDescent="0.35">
      <c r="A333" t="s">
        <v>1227</v>
      </c>
      <c r="B333" t="s">
        <v>815</v>
      </c>
      <c r="C333" t="s">
        <v>816</v>
      </c>
      <c r="D333" t="s">
        <v>59</v>
      </c>
      <c r="E333" t="s">
        <v>817</v>
      </c>
    </row>
    <row r="334" spans="1:5" x14ac:dyDescent="0.35">
      <c r="A334" t="s">
        <v>1227</v>
      </c>
      <c r="B334" t="s">
        <v>818</v>
      </c>
      <c r="C334" t="s">
        <v>819</v>
      </c>
      <c r="D334" t="s">
        <v>30</v>
      </c>
      <c r="E334" t="s">
        <v>820</v>
      </c>
    </row>
    <row r="335" spans="1:5" x14ac:dyDescent="0.35">
      <c r="A335" t="s">
        <v>1227</v>
      </c>
      <c r="B335" t="s">
        <v>821</v>
      </c>
      <c r="C335" t="s">
        <v>821</v>
      </c>
      <c r="D335" t="s">
        <v>31</v>
      </c>
      <c r="E335" t="s">
        <v>822</v>
      </c>
    </row>
    <row r="336" spans="1:5" x14ac:dyDescent="0.35">
      <c r="A336" t="s">
        <v>1227</v>
      </c>
      <c r="B336" t="s">
        <v>823</v>
      </c>
      <c r="C336" t="s">
        <v>824</v>
      </c>
      <c r="D336" t="s">
        <v>59</v>
      </c>
      <c r="E336" t="s">
        <v>825</v>
      </c>
    </row>
    <row r="337" spans="1:5" x14ac:dyDescent="0.35">
      <c r="A337" t="s">
        <v>1227</v>
      </c>
      <c r="B337" t="s">
        <v>826</v>
      </c>
      <c r="C337" t="s">
        <v>826</v>
      </c>
      <c r="D337" t="s">
        <v>59</v>
      </c>
      <c r="E337" t="s">
        <v>827</v>
      </c>
    </row>
    <row r="338" spans="1:5" x14ac:dyDescent="0.35">
      <c r="A338" t="s">
        <v>1227</v>
      </c>
      <c r="B338" t="s">
        <v>826</v>
      </c>
      <c r="C338" t="s">
        <v>225</v>
      </c>
      <c r="D338" t="s">
        <v>59</v>
      </c>
      <c r="E338" t="s">
        <v>828</v>
      </c>
    </row>
    <row r="339" spans="1:5" x14ac:dyDescent="0.35">
      <c r="A339" t="s">
        <v>1227</v>
      </c>
      <c r="B339" t="s">
        <v>829</v>
      </c>
      <c r="C339" t="s">
        <v>830</v>
      </c>
      <c r="D339" t="s">
        <v>59</v>
      </c>
      <c r="E339" t="s">
        <v>831</v>
      </c>
    </row>
    <row r="340" spans="1:5" x14ac:dyDescent="0.35">
      <c r="A340" t="s">
        <v>1227</v>
      </c>
      <c r="B340" t="s">
        <v>832</v>
      </c>
      <c r="C340" t="s">
        <v>362</v>
      </c>
      <c r="D340" t="s">
        <v>12</v>
      </c>
      <c r="E340" t="s">
        <v>833</v>
      </c>
    </row>
    <row r="341" spans="1:5" x14ac:dyDescent="0.35">
      <c r="A341" t="s">
        <v>1227</v>
      </c>
      <c r="B341" t="s">
        <v>834</v>
      </c>
      <c r="C341" t="s">
        <v>209</v>
      </c>
      <c r="D341" t="s">
        <v>30</v>
      </c>
      <c r="E341" t="s">
        <v>835</v>
      </c>
    </row>
    <row r="342" spans="1:5" x14ac:dyDescent="0.35">
      <c r="A342" t="s">
        <v>1227</v>
      </c>
      <c r="B342" t="s">
        <v>836</v>
      </c>
      <c r="C342" t="s">
        <v>836</v>
      </c>
      <c r="D342" t="s">
        <v>59</v>
      </c>
      <c r="E342" t="s">
        <v>837</v>
      </c>
    </row>
    <row r="343" spans="1:5" x14ac:dyDescent="0.35">
      <c r="A343" t="s">
        <v>1227</v>
      </c>
      <c r="B343" t="s">
        <v>838</v>
      </c>
      <c r="C343" t="s">
        <v>839</v>
      </c>
      <c r="D343" t="s">
        <v>59</v>
      </c>
      <c r="E343" t="s">
        <v>840</v>
      </c>
    </row>
    <row r="344" spans="1:5" x14ac:dyDescent="0.35">
      <c r="A344" t="s">
        <v>1227</v>
      </c>
      <c r="B344" t="s">
        <v>841</v>
      </c>
      <c r="C344" t="s">
        <v>346</v>
      </c>
      <c r="D344" t="s">
        <v>59</v>
      </c>
      <c r="E344" t="s">
        <v>842</v>
      </c>
    </row>
    <row r="345" spans="1:5" x14ac:dyDescent="0.35">
      <c r="A345" t="s">
        <v>1227</v>
      </c>
      <c r="B345" t="s">
        <v>843</v>
      </c>
      <c r="C345" t="s">
        <v>844</v>
      </c>
      <c r="D345" t="s">
        <v>20</v>
      </c>
      <c r="E345" t="s">
        <v>845</v>
      </c>
    </row>
    <row r="346" spans="1:5" x14ac:dyDescent="0.35">
      <c r="A346" t="s">
        <v>1227</v>
      </c>
      <c r="B346" t="s">
        <v>846</v>
      </c>
      <c r="C346" t="s">
        <v>847</v>
      </c>
      <c r="D346" t="s">
        <v>59</v>
      </c>
      <c r="E346" t="s">
        <v>848</v>
      </c>
    </row>
    <row r="347" spans="1:5" x14ac:dyDescent="0.35">
      <c r="A347" t="s">
        <v>1227</v>
      </c>
      <c r="B347" t="s">
        <v>849</v>
      </c>
      <c r="C347" t="s">
        <v>87</v>
      </c>
      <c r="D347" t="s">
        <v>59</v>
      </c>
      <c r="E347" t="s">
        <v>850</v>
      </c>
    </row>
    <row r="348" spans="1:5" x14ac:dyDescent="0.35">
      <c r="A348" t="s">
        <v>1227</v>
      </c>
      <c r="B348" t="s">
        <v>851</v>
      </c>
      <c r="C348" t="s">
        <v>346</v>
      </c>
      <c r="D348" t="s">
        <v>59</v>
      </c>
      <c r="E348" t="s">
        <v>852</v>
      </c>
    </row>
    <row r="349" spans="1:5" x14ac:dyDescent="0.35">
      <c r="A349" t="s">
        <v>1227</v>
      </c>
      <c r="B349" t="s">
        <v>853</v>
      </c>
      <c r="C349" t="s">
        <v>446</v>
      </c>
      <c r="D349" t="s">
        <v>20</v>
      </c>
      <c r="E349" t="s">
        <v>854</v>
      </c>
    </row>
    <row r="350" spans="1:5" x14ac:dyDescent="0.35">
      <c r="A350" t="s">
        <v>1227</v>
      </c>
      <c r="B350" t="s">
        <v>855</v>
      </c>
      <c r="C350" t="s">
        <v>346</v>
      </c>
      <c r="D350" t="s">
        <v>59</v>
      </c>
      <c r="E350" t="s">
        <v>856</v>
      </c>
    </row>
    <row r="351" spans="1:5" x14ac:dyDescent="0.35">
      <c r="A351" t="s">
        <v>1227</v>
      </c>
      <c r="B351" t="s">
        <v>857</v>
      </c>
      <c r="C351" t="s">
        <v>858</v>
      </c>
      <c r="D351" t="s">
        <v>20</v>
      </c>
      <c r="E351" t="s">
        <v>859</v>
      </c>
    </row>
    <row r="352" spans="1:5" x14ac:dyDescent="0.35">
      <c r="A352" t="s">
        <v>1227</v>
      </c>
      <c r="B352" t="s">
        <v>857</v>
      </c>
      <c r="C352" t="s">
        <v>860</v>
      </c>
      <c r="D352" t="s">
        <v>59</v>
      </c>
      <c r="E352" t="s">
        <v>861</v>
      </c>
    </row>
    <row r="353" spans="1:5" x14ac:dyDescent="0.35">
      <c r="A353" t="s">
        <v>1227</v>
      </c>
      <c r="B353" t="s">
        <v>857</v>
      </c>
      <c r="C353" t="s">
        <v>862</v>
      </c>
      <c r="D353" t="s">
        <v>12</v>
      </c>
      <c r="E353" t="s">
        <v>861</v>
      </c>
    </row>
    <row r="354" spans="1:5" x14ac:dyDescent="0.35">
      <c r="A354" t="s">
        <v>1227</v>
      </c>
      <c r="B354" t="s">
        <v>857</v>
      </c>
      <c r="C354" t="s">
        <v>863</v>
      </c>
      <c r="D354" t="s">
        <v>59</v>
      </c>
      <c r="E354" t="s">
        <v>864</v>
      </c>
    </row>
    <row r="355" spans="1:5" x14ac:dyDescent="0.35">
      <c r="A355" t="s">
        <v>1227</v>
      </c>
      <c r="B355" t="s">
        <v>865</v>
      </c>
      <c r="C355" t="s">
        <v>446</v>
      </c>
      <c r="D355" t="s">
        <v>20</v>
      </c>
      <c r="E355" t="s">
        <v>866</v>
      </c>
    </row>
    <row r="356" spans="1:5" x14ac:dyDescent="0.35">
      <c r="A356" t="s">
        <v>1227</v>
      </c>
      <c r="B356" t="s">
        <v>867</v>
      </c>
      <c r="C356" t="s">
        <v>858</v>
      </c>
      <c r="D356" t="s">
        <v>59</v>
      </c>
      <c r="E356" t="s">
        <v>868</v>
      </c>
    </row>
    <row r="357" spans="1:5" x14ac:dyDescent="0.35">
      <c r="A357" t="s">
        <v>1227</v>
      </c>
      <c r="B357" t="s">
        <v>867</v>
      </c>
      <c r="C357" t="s">
        <v>860</v>
      </c>
      <c r="D357" t="s">
        <v>59</v>
      </c>
      <c r="E357" t="s">
        <v>869</v>
      </c>
    </row>
    <row r="358" spans="1:5" x14ac:dyDescent="0.35">
      <c r="A358" t="s">
        <v>1227</v>
      </c>
      <c r="B358" t="s">
        <v>867</v>
      </c>
      <c r="C358" t="s">
        <v>862</v>
      </c>
      <c r="D358" t="s">
        <v>59</v>
      </c>
      <c r="E358" t="s">
        <v>870</v>
      </c>
    </row>
    <row r="359" spans="1:5" x14ac:dyDescent="0.35">
      <c r="A359" t="s">
        <v>1227</v>
      </c>
      <c r="B359" t="s">
        <v>867</v>
      </c>
      <c r="C359" t="s">
        <v>863</v>
      </c>
      <c r="D359" t="s">
        <v>59</v>
      </c>
      <c r="E359" t="s">
        <v>871</v>
      </c>
    </row>
    <row r="360" spans="1:5" x14ac:dyDescent="0.35">
      <c r="A360" t="s">
        <v>1227</v>
      </c>
      <c r="B360" t="s">
        <v>872</v>
      </c>
      <c r="C360" t="s">
        <v>858</v>
      </c>
      <c r="D360" t="s">
        <v>59</v>
      </c>
      <c r="E360" t="s">
        <v>873</v>
      </c>
    </row>
    <row r="361" spans="1:5" x14ac:dyDescent="0.35">
      <c r="A361" t="s">
        <v>1227</v>
      </c>
      <c r="B361" t="s">
        <v>872</v>
      </c>
      <c r="C361" t="s">
        <v>860</v>
      </c>
      <c r="D361" t="s">
        <v>59</v>
      </c>
      <c r="E361" t="s">
        <v>874</v>
      </c>
    </row>
    <row r="362" spans="1:5" x14ac:dyDescent="0.35">
      <c r="A362" t="s">
        <v>1227</v>
      </c>
      <c r="B362" t="s">
        <v>872</v>
      </c>
      <c r="C362" t="s">
        <v>862</v>
      </c>
      <c r="D362" t="s">
        <v>20</v>
      </c>
      <c r="E362" t="s">
        <v>875</v>
      </c>
    </row>
    <row r="363" spans="1:5" x14ac:dyDescent="0.35">
      <c r="A363" t="s">
        <v>1227</v>
      </c>
      <c r="B363" t="s">
        <v>872</v>
      </c>
      <c r="C363" t="s">
        <v>863</v>
      </c>
      <c r="D363" t="s">
        <v>12</v>
      </c>
      <c r="E363" t="s">
        <v>876</v>
      </c>
    </row>
    <row r="364" spans="1:5" x14ac:dyDescent="0.35">
      <c r="A364" t="s">
        <v>1227</v>
      </c>
      <c r="B364" t="s">
        <v>877</v>
      </c>
      <c r="C364" t="s">
        <v>878</v>
      </c>
      <c r="D364" t="s">
        <v>59</v>
      </c>
      <c r="E364" t="s">
        <v>879</v>
      </c>
    </row>
    <row r="365" spans="1:5" x14ac:dyDescent="0.35">
      <c r="A365" t="s">
        <v>1227</v>
      </c>
      <c r="B365" t="s">
        <v>877</v>
      </c>
      <c r="C365" t="s">
        <v>880</v>
      </c>
      <c r="D365" t="s">
        <v>59</v>
      </c>
      <c r="E365" t="s">
        <v>881</v>
      </c>
    </row>
    <row r="366" spans="1:5" x14ac:dyDescent="0.35">
      <c r="A366" t="s">
        <v>1227</v>
      </c>
      <c r="B366" t="s">
        <v>882</v>
      </c>
      <c r="C366" t="s">
        <v>839</v>
      </c>
      <c r="D366" t="s">
        <v>59</v>
      </c>
      <c r="E366" t="s">
        <v>883</v>
      </c>
    </row>
    <row r="367" spans="1:5" x14ac:dyDescent="0.35">
      <c r="A367" t="s">
        <v>1227</v>
      </c>
      <c r="B367" t="s">
        <v>884</v>
      </c>
      <c r="C367" t="s">
        <v>346</v>
      </c>
      <c r="D367" t="s">
        <v>20</v>
      </c>
      <c r="E367" t="s">
        <v>806</v>
      </c>
    </row>
    <row r="368" spans="1:5" x14ac:dyDescent="0.35">
      <c r="A368" t="s">
        <v>1227</v>
      </c>
      <c r="B368" t="s">
        <v>885</v>
      </c>
      <c r="C368" t="s">
        <v>886</v>
      </c>
      <c r="D368" t="s">
        <v>59</v>
      </c>
      <c r="E368" t="s">
        <v>887</v>
      </c>
    </row>
    <row r="369" spans="1:5" x14ac:dyDescent="0.35">
      <c r="A369" t="s">
        <v>1227</v>
      </c>
      <c r="B369" t="s">
        <v>888</v>
      </c>
      <c r="C369" t="s">
        <v>821</v>
      </c>
      <c r="D369" t="s">
        <v>31</v>
      </c>
      <c r="E369" t="s">
        <v>889</v>
      </c>
    </row>
    <row r="370" spans="1:5" x14ac:dyDescent="0.35">
      <c r="A370" t="s">
        <v>1227</v>
      </c>
      <c r="B370" t="s">
        <v>890</v>
      </c>
      <c r="C370" t="s">
        <v>346</v>
      </c>
      <c r="D370" t="s">
        <v>59</v>
      </c>
      <c r="E370" t="s">
        <v>891</v>
      </c>
    </row>
    <row r="371" spans="1:5" x14ac:dyDescent="0.35">
      <c r="A371" t="s">
        <v>1227</v>
      </c>
      <c r="B371" t="s">
        <v>892</v>
      </c>
      <c r="C371" t="s">
        <v>225</v>
      </c>
      <c r="D371" t="s">
        <v>59</v>
      </c>
      <c r="E371" t="s">
        <v>893</v>
      </c>
    </row>
    <row r="372" spans="1:5" x14ac:dyDescent="0.35">
      <c r="A372" t="s">
        <v>1227</v>
      </c>
      <c r="B372" t="s">
        <v>894</v>
      </c>
      <c r="C372" t="s">
        <v>895</v>
      </c>
      <c r="D372" t="s">
        <v>59</v>
      </c>
      <c r="E372" t="s">
        <v>896</v>
      </c>
    </row>
    <row r="373" spans="1:5" x14ac:dyDescent="0.35">
      <c r="A373" t="s">
        <v>1227</v>
      </c>
      <c r="B373" t="s">
        <v>897</v>
      </c>
      <c r="C373" t="s">
        <v>225</v>
      </c>
      <c r="D373" t="s">
        <v>30</v>
      </c>
      <c r="E373" t="s">
        <v>898</v>
      </c>
    </row>
    <row r="374" spans="1:5" x14ac:dyDescent="0.35">
      <c r="A374" t="s">
        <v>1227</v>
      </c>
      <c r="B374" t="s">
        <v>899</v>
      </c>
      <c r="C374" t="s">
        <v>900</v>
      </c>
      <c r="D374" t="s">
        <v>20</v>
      </c>
      <c r="E374" t="s">
        <v>901</v>
      </c>
    </row>
    <row r="375" spans="1:5" x14ac:dyDescent="0.35">
      <c r="A375" t="s">
        <v>1227</v>
      </c>
      <c r="B375" t="s">
        <v>902</v>
      </c>
      <c r="C375" t="s">
        <v>903</v>
      </c>
      <c r="D375" t="s">
        <v>59</v>
      </c>
      <c r="E375" t="s">
        <v>904</v>
      </c>
    </row>
    <row r="376" spans="1:5" x14ac:dyDescent="0.35">
      <c r="A376" t="s">
        <v>1227</v>
      </c>
      <c r="B376" t="s">
        <v>902</v>
      </c>
      <c r="C376" t="s">
        <v>905</v>
      </c>
      <c r="D376" t="s">
        <v>30</v>
      </c>
      <c r="E376" t="s">
        <v>906</v>
      </c>
    </row>
    <row r="377" spans="1:5" x14ac:dyDescent="0.35">
      <c r="A377" t="s">
        <v>1227</v>
      </c>
      <c r="B377" t="s">
        <v>902</v>
      </c>
      <c r="C377" t="s">
        <v>907</v>
      </c>
      <c r="D377" t="s">
        <v>30</v>
      </c>
      <c r="E377" t="s">
        <v>908</v>
      </c>
    </row>
    <row r="378" spans="1:5" x14ac:dyDescent="0.35">
      <c r="A378" t="s">
        <v>1227</v>
      </c>
      <c r="B378" t="s">
        <v>909</v>
      </c>
      <c r="C378" t="s">
        <v>225</v>
      </c>
      <c r="D378" t="s">
        <v>59</v>
      </c>
      <c r="E378" t="s">
        <v>910</v>
      </c>
    </row>
    <row r="379" spans="1:5" x14ac:dyDescent="0.35">
      <c r="A379" t="s">
        <v>1227</v>
      </c>
      <c r="B379" t="s">
        <v>911</v>
      </c>
      <c r="C379" t="s">
        <v>346</v>
      </c>
      <c r="D379" t="s">
        <v>59</v>
      </c>
      <c r="E379" t="s">
        <v>806</v>
      </c>
    </row>
    <row r="380" spans="1:5" x14ac:dyDescent="0.35">
      <c r="A380" t="s">
        <v>1227</v>
      </c>
      <c r="B380" t="s">
        <v>912</v>
      </c>
      <c r="C380" t="s">
        <v>225</v>
      </c>
      <c r="D380" t="s">
        <v>59</v>
      </c>
      <c r="E380" t="s">
        <v>913</v>
      </c>
    </row>
    <row r="381" spans="1:5" x14ac:dyDescent="0.35">
      <c r="A381" t="s">
        <v>1227</v>
      </c>
      <c r="B381" t="s">
        <v>914</v>
      </c>
      <c r="C381" t="s">
        <v>687</v>
      </c>
      <c r="D381" t="s">
        <v>20</v>
      </c>
      <c r="E381" t="s">
        <v>915</v>
      </c>
    </row>
    <row r="382" spans="1:5" x14ac:dyDescent="0.35">
      <c r="A382" t="s">
        <v>1227</v>
      </c>
      <c r="B382" t="s">
        <v>916</v>
      </c>
      <c r="C382" t="s">
        <v>225</v>
      </c>
      <c r="D382" t="s">
        <v>59</v>
      </c>
      <c r="E382" t="s">
        <v>917</v>
      </c>
    </row>
    <row r="383" spans="1:5" x14ac:dyDescent="0.35">
      <c r="A383" t="s">
        <v>1227</v>
      </c>
      <c r="B383" t="s">
        <v>918</v>
      </c>
      <c r="C383" t="s">
        <v>362</v>
      </c>
      <c r="D383" t="s">
        <v>12</v>
      </c>
      <c r="E383" t="s">
        <v>919</v>
      </c>
    </row>
    <row r="384" spans="1:5" x14ac:dyDescent="0.35">
      <c r="A384" t="s">
        <v>1227</v>
      </c>
      <c r="B384" t="s">
        <v>920</v>
      </c>
      <c r="C384" t="s">
        <v>550</v>
      </c>
      <c r="D384" t="s">
        <v>30</v>
      </c>
      <c r="E384" t="s">
        <v>921</v>
      </c>
    </row>
    <row r="385" spans="1:5" x14ac:dyDescent="0.35">
      <c r="A385" t="s">
        <v>1227</v>
      </c>
      <c r="B385" t="s">
        <v>922</v>
      </c>
      <c r="C385" t="s">
        <v>446</v>
      </c>
      <c r="D385" t="s">
        <v>20</v>
      </c>
      <c r="E385" t="s">
        <v>923</v>
      </c>
    </row>
    <row r="386" spans="1:5" x14ac:dyDescent="0.35">
      <c r="A386" t="s">
        <v>1227</v>
      </c>
      <c r="B386" t="s">
        <v>924</v>
      </c>
      <c r="C386" t="s">
        <v>925</v>
      </c>
      <c r="D386" t="s">
        <v>59</v>
      </c>
      <c r="E386" t="s">
        <v>926</v>
      </c>
    </row>
    <row r="387" spans="1:5" x14ac:dyDescent="0.35">
      <c r="A387" t="s">
        <v>1227</v>
      </c>
      <c r="B387" t="s">
        <v>927</v>
      </c>
      <c r="C387" t="s">
        <v>346</v>
      </c>
      <c r="D387" t="s">
        <v>59</v>
      </c>
      <c r="E387" t="s">
        <v>928</v>
      </c>
    </row>
    <row r="388" spans="1:5" x14ac:dyDescent="0.35">
      <c r="A388" t="s">
        <v>1227</v>
      </c>
      <c r="B388" t="s">
        <v>929</v>
      </c>
      <c r="C388" t="s">
        <v>87</v>
      </c>
      <c r="D388" t="s">
        <v>59</v>
      </c>
      <c r="E388" t="s">
        <v>930</v>
      </c>
    </row>
    <row r="389" spans="1:5" x14ac:dyDescent="0.35">
      <c r="A389" t="s">
        <v>1227</v>
      </c>
      <c r="B389" t="s">
        <v>931</v>
      </c>
      <c r="C389" t="s">
        <v>494</v>
      </c>
      <c r="D389" t="s">
        <v>30</v>
      </c>
      <c r="E389" t="s">
        <v>932</v>
      </c>
    </row>
    <row r="390" spans="1:5" x14ac:dyDescent="0.35">
      <c r="A390" t="s">
        <v>1227</v>
      </c>
      <c r="B390" t="s">
        <v>933</v>
      </c>
      <c r="C390" t="s">
        <v>225</v>
      </c>
      <c r="D390" t="s">
        <v>59</v>
      </c>
      <c r="E390" t="s">
        <v>917</v>
      </c>
    </row>
    <row r="391" spans="1:5" x14ac:dyDescent="0.35">
      <c r="A391" t="s">
        <v>1227</v>
      </c>
      <c r="B391" t="s">
        <v>934</v>
      </c>
      <c r="C391" t="s">
        <v>935</v>
      </c>
      <c r="D391" t="s">
        <v>59</v>
      </c>
      <c r="E391" t="s">
        <v>936</v>
      </c>
    </row>
    <row r="392" spans="1:5" x14ac:dyDescent="0.35">
      <c r="A392" t="s">
        <v>1227</v>
      </c>
      <c r="B392" t="s">
        <v>937</v>
      </c>
      <c r="C392" t="s">
        <v>259</v>
      </c>
      <c r="D392" t="s">
        <v>20</v>
      </c>
      <c r="E392" t="s">
        <v>674</v>
      </c>
    </row>
    <row r="393" spans="1:5" x14ac:dyDescent="0.35">
      <c r="A393" t="s">
        <v>1227</v>
      </c>
      <c r="B393" t="s">
        <v>938</v>
      </c>
      <c r="C393" t="s">
        <v>939</v>
      </c>
      <c r="D393" t="s">
        <v>20</v>
      </c>
      <c r="E393" t="s">
        <v>940</v>
      </c>
    </row>
    <row r="394" spans="1:5" x14ac:dyDescent="0.35">
      <c r="A394" t="s">
        <v>1227</v>
      </c>
      <c r="B394" t="s">
        <v>941</v>
      </c>
      <c r="C394" t="s">
        <v>225</v>
      </c>
      <c r="D394" t="s">
        <v>59</v>
      </c>
      <c r="E394" t="s">
        <v>942</v>
      </c>
    </row>
    <row r="395" spans="1:5" x14ac:dyDescent="0.35">
      <c r="A395" t="s">
        <v>1227</v>
      </c>
      <c r="B395" t="s">
        <v>943</v>
      </c>
      <c r="C395" t="s">
        <v>225</v>
      </c>
      <c r="D395" t="s">
        <v>59</v>
      </c>
      <c r="E395" t="s">
        <v>944</v>
      </c>
    </row>
    <row r="396" spans="1:5" x14ac:dyDescent="0.35">
      <c r="A396" t="s">
        <v>1227</v>
      </c>
      <c r="B396" t="s">
        <v>945</v>
      </c>
      <c r="C396" t="s">
        <v>946</v>
      </c>
      <c r="D396" t="s">
        <v>59</v>
      </c>
      <c r="E396" t="s">
        <v>947</v>
      </c>
    </row>
    <row r="397" spans="1:5" x14ac:dyDescent="0.35">
      <c r="A397" t="s">
        <v>1227</v>
      </c>
      <c r="B397" t="s">
        <v>948</v>
      </c>
      <c r="C397" t="s">
        <v>225</v>
      </c>
      <c r="D397" t="s">
        <v>59</v>
      </c>
      <c r="E397" t="s">
        <v>949</v>
      </c>
    </row>
    <row r="398" spans="1:5" x14ac:dyDescent="0.35">
      <c r="A398" t="s">
        <v>1227</v>
      </c>
      <c r="B398" t="s">
        <v>950</v>
      </c>
      <c r="C398" t="s">
        <v>520</v>
      </c>
      <c r="D398" t="s">
        <v>59</v>
      </c>
      <c r="E398" t="s">
        <v>951</v>
      </c>
    </row>
    <row r="399" spans="1:5" x14ac:dyDescent="0.35">
      <c r="A399" t="s">
        <v>1227</v>
      </c>
      <c r="B399" t="s">
        <v>952</v>
      </c>
      <c r="C399" t="s">
        <v>498</v>
      </c>
      <c r="D399" t="s">
        <v>59</v>
      </c>
      <c r="E399" t="s">
        <v>953</v>
      </c>
    </row>
    <row r="400" spans="1:5" x14ac:dyDescent="0.35">
      <c r="A400" t="s">
        <v>1227</v>
      </c>
      <c r="B400" t="s">
        <v>954</v>
      </c>
      <c r="C400" t="s">
        <v>955</v>
      </c>
      <c r="D400" t="s">
        <v>59</v>
      </c>
      <c r="E400" t="s">
        <v>956</v>
      </c>
    </row>
    <row r="401" spans="1:5" x14ac:dyDescent="0.35">
      <c r="A401" t="s">
        <v>1227</v>
      </c>
      <c r="B401" t="s">
        <v>957</v>
      </c>
      <c r="C401" t="s">
        <v>346</v>
      </c>
      <c r="D401" t="s">
        <v>59</v>
      </c>
      <c r="E401" t="s">
        <v>806</v>
      </c>
    </row>
    <row r="402" spans="1:5" x14ac:dyDescent="0.35">
      <c r="A402" t="s">
        <v>1227</v>
      </c>
      <c r="B402" t="s">
        <v>958</v>
      </c>
      <c r="C402" t="s">
        <v>959</v>
      </c>
      <c r="D402" t="s">
        <v>59</v>
      </c>
      <c r="E402" t="s">
        <v>960</v>
      </c>
    </row>
    <row r="403" spans="1:5" x14ac:dyDescent="0.35">
      <c r="A403" t="s">
        <v>1227</v>
      </c>
      <c r="B403" t="s">
        <v>961</v>
      </c>
      <c r="C403" t="s">
        <v>962</v>
      </c>
      <c r="D403" t="s">
        <v>59</v>
      </c>
      <c r="E403" t="s">
        <v>963</v>
      </c>
    </row>
    <row r="404" spans="1:5" x14ac:dyDescent="0.35">
      <c r="A404" t="s">
        <v>1227</v>
      </c>
      <c r="B404" t="s">
        <v>964</v>
      </c>
      <c r="C404" t="s">
        <v>965</v>
      </c>
      <c r="D404" t="s">
        <v>59</v>
      </c>
      <c r="E404" t="s">
        <v>966</v>
      </c>
    </row>
    <row r="405" spans="1:5" x14ac:dyDescent="0.35">
      <c r="A405" t="s">
        <v>1227</v>
      </c>
      <c r="B405" t="s">
        <v>967</v>
      </c>
      <c r="C405" t="s">
        <v>225</v>
      </c>
      <c r="D405" t="s">
        <v>59</v>
      </c>
      <c r="E405" t="s">
        <v>968</v>
      </c>
    </row>
    <row r="406" spans="1:5" x14ac:dyDescent="0.35">
      <c r="A406" t="s">
        <v>1227</v>
      </c>
      <c r="B406" t="s">
        <v>969</v>
      </c>
      <c r="C406" t="s">
        <v>970</v>
      </c>
      <c r="D406" t="s">
        <v>30</v>
      </c>
      <c r="E406" t="s">
        <v>971</v>
      </c>
    </row>
    <row r="407" spans="1:5" x14ac:dyDescent="0.35">
      <c r="A407" t="s">
        <v>1227</v>
      </c>
      <c r="B407" t="s">
        <v>816</v>
      </c>
      <c r="C407" t="s">
        <v>346</v>
      </c>
      <c r="D407" t="s">
        <v>59</v>
      </c>
      <c r="E407" t="s">
        <v>972</v>
      </c>
    </row>
    <row r="408" spans="1:5" x14ac:dyDescent="0.35">
      <c r="A408" t="s">
        <v>1227</v>
      </c>
      <c r="B408" t="s">
        <v>973</v>
      </c>
      <c r="C408" t="s">
        <v>974</v>
      </c>
      <c r="D408" t="s">
        <v>20</v>
      </c>
      <c r="E408" t="s">
        <v>975</v>
      </c>
    </row>
    <row r="409" spans="1:5" x14ac:dyDescent="0.35">
      <c r="A409" t="s">
        <v>1227</v>
      </c>
      <c r="B409" t="s">
        <v>976</v>
      </c>
      <c r="C409" t="s">
        <v>346</v>
      </c>
      <c r="D409" t="s">
        <v>12</v>
      </c>
      <c r="E409" t="s">
        <v>977</v>
      </c>
    </row>
    <row r="410" spans="1:5" x14ac:dyDescent="0.35">
      <c r="A410" t="s">
        <v>1227</v>
      </c>
      <c r="B410" t="s">
        <v>978</v>
      </c>
      <c r="C410" t="s">
        <v>225</v>
      </c>
      <c r="D410" t="s">
        <v>59</v>
      </c>
      <c r="E410" t="s">
        <v>979</v>
      </c>
    </row>
    <row r="411" spans="1:5" x14ac:dyDescent="0.35">
      <c r="A411" t="s">
        <v>1227</v>
      </c>
      <c r="B411" t="s">
        <v>980</v>
      </c>
      <c r="C411" t="s">
        <v>981</v>
      </c>
      <c r="D411" t="s">
        <v>30</v>
      </c>
      <c r="E411" t="s">
        <v>982</v>
      </c>
    </row>
    <row r="412" spans="1:5" x14ac:dyDescent="0.35">
      <c r="A412" t="s">
        <v>1227</v>
      </c>
      <c r="B412" t="s">
        <v>983</v>
      </c>
      <c r="C412" t="s">
        <v>346</v>
      </c>
      <c r="D412" t="s">
        <v>59</v>
      </c>
      <c r="E412" t="s">
        <v>984</v>
      </c>
    </row>
    <row r="413" spans="1:5" x14ac:dyDescent="0.35">
      <c r="A413" t="s">
        <v>1227</v>
      </c>
      <c r="B413" t="s">
        <v>985</v>
      </c>
      <c r="C413" t="s">
        <v>346</v>
      </c>
      <c r="D413" t="s">
        <v>59</v>
      </c>
      <c r="E413" t="s">
        <v>986</v>
      </c>
    </row>
    <row r="414" spans="1:5" x14ac:dyDescent="0.35">
      <c r="A414" t="s">
        <v>1227</v>
      </c>
      <c r="B414" t="s">
        <v>987</v>
      </c>
      <c r="C414" t="s">
        <v>225</v>
      </c>
      <c r="D414" t="s">
        <v>59</v>
      </c>
      <c r="E414" t="s">
        <v>988</v>
      </c>
    </row>
    <row r="415" spans="1:5" x14ac:dyDescent="0.35">
      <c r="A415" t="s">
        <v>1227</v>
      </c>
      <c r="B415" t="s">
        <v>989</v>
      </c>
      <c r="C415" t="s">
        <v>990</v>
      </c>
      <c r="D415" t="s">
        <v>59</v>
      </c>
      <c r="E415" t="s">
        <v>991</v>
      </c>
    </row>
    <row r="416" spans="1:5" x14ac:dyDescent="0.35">
      <c r="A416" t="s">
        <v>1227</v>
      </c>
      <c r="B416" t="s">
        <v>992</v>
      </c>
      <c r="C416" t="s">
        <v>207</v>
      </c>
      <c r="D416" t="s">
        <v>30</v>
      </c>
      <c r="E416" t="s">
        <v>993</v>
      </c>
    </row>
    <row r="417" spans="1:5" x14ac:dyDescent="0.35">
      <c r="A417" t="s">
        <v>1227</v>
      </c>
      <c r="B417" t="s">
        <v>992</v>
      </c>
      <c r="C417" t="s">
        <v>209</v>
      </c>
      <c r="D417" t="s">
        <v>30</v>
      </c>
      <c r="E417" t="s">
        <v>993</v>
      </c>
    </row>
    <row r="418" spans="1:5" x14ac:dyDescent="0.35">
      <c r="A418" t="s">
        <v>1227</v>
      </c>
      <c r="B418" t="s">
        <v>994</v>
      </c>
      <c r="C418" t="s">
        <v>995</v>
      </c>
      <c r="D418" t="s">
        <v>59</v>
      </c>
      <c r="E418" t="s">
        <v>996</v>
      </c>
    </row>
    <row r="419" spans="1:5" x14ac:dyDescent="0.35">
      <c r="A419" t="s">
        <v>1227</v>
      </c>
      <c r="B419" t="s">
        <v>997</v>
      </c>
      <c r="C419" t="s">
        <v>209</v>
      </c>
      <c r="D419" t="s">
        <v>30</v>
      </c>
      <c r="E419" t="s">
        <v>998</v>
      </c>
    </row>
    <row r="420" spans="1:5" x14ac:dyDescent="0.35">
      <c r="A420" t="s">
        <v>1227</v>
      </c>
      <c r="B420" t="s">
        <v>999</v>
      </c>
      <c r="C420" t="s">
        <v>446</v>
      </c>
      <c r="D420" t="s">
        <v>20</v>
      </c>
      <c r="E420" t="s">
        <v>1000</v>
      </c>
    </row>
    <row r="421" spans="1:5" x14ac:dyDescent="0.35">
      <c r="A421" t="s">
        <v>1227</v>
      </c>
      <c r="B421" t="s">
        <v>1001</v>
      </c>
      <c r="C421" t="s">
        <v>346</v>
      </c>
      <c r="D421" t="s">
        <v>12</v>
      </c>
      <c r="E421" t="s">
        <v>1002</v>
      </c>
    </row>
    <row r="422" spans="1:5" x14ac:dyDescent="0.35">
      <c r="A422" t="s">
        <v>1227</v>
      </c>
      <c r="B422" t="s">
        <v>1003</v>
      </c>
      <c r="C422" t="s">
        <v>446</v>
      </c>
      <c r="D422" t="s">
        <v>20</v>
      </c>
      <c r="E422" t="s">
        <v>1004</v>
      </c>
    </row>
    <row r="423" spans="1:5" x14ac:dyDescent="0.35">
      <c r="A423" t="s">
        <v>1227</v>
      </c>
      <c r="B423" t="s">
        <v>1005</v>
      </c>
      <c r="C423" t="s">
        <v>312</v>
      </c>
      <c r="D423" t="s">
        <v>59</v>
      </c>
      <c r="E423" t="s">
        <v>1006</v>
      </c>
    </row>
    <row r="424" spans="1:5" x14ac:dyDescent="0.35">
      <c r="A424" t="s">
        <v>1227</v>
      </c>
      <c r="B424" t="s">
        <v>1007</v>
      </c>
      <c r="C424" t="s">
        <v>225</v>
      </c>
      <c r="D424" t="s">
        <v>59</v>
      </c>
      <c r="E424" t="s">
        <v>812</v>
      </c>
    </row>
    <row r="425" spans="1:5" x14ac:dyDescent="0.35">
      <c r="A425" t="s">
        <v>1227</v>
      </c>
      <c r="B425" t="s">
        <v>1008</v>
      </c>
      <c r="C425" t="s">
        <v>87</v>
      </c>
      <c r="D425" t="s">
        <v>20</v>
      </c>
      <c r="E425" t="s">
        <v>1009</v>
      </c>
    </row>
    <row r="426" spans="1:5" x14ac:dyDescent="0.35">
      <c r="A426" t="s">
        <v>1227</v>
      </c>
      <c r="B426" t="s">
        <v>1010</v>
      </c>
      <c r="C426" t="s">
        <v>687</v>
      </c>
      <c r="D426" t="s">
        <v>20</v>
      </c>
      <c r="E426" t="s">
        <v>1011</v>
      </c>
    </row>
    <row r="427" spans="1:5" x14ac:dyDescent="0.35">
      <c r="A427" t="s">
        <v>1227</v>
      </c>
      <c r="B427" t="s">
        <v>1012</v>
      </c>
      <c r="C427" t="s">
        <v>346</v>
      </c>
      <c r="D427" t="s">
        <v>59</v>
      </c>
      <c r="E427" t="s">
        <v>1013</v>
      </c>
    </row>
    <row r="428" spans="1:5" x14ac:dyDescent="0.35">
      <c r="A428" t="s">
        <v>1227</v>
      </c>
      <c r="B428" t="s">
        <v>1014</v>
      </c>
      <c r="C428" t="s">
        <v>1015</v>
      </c>
      <c r="D428" t="s">
        <v>59</v>
      </c>
      <c r="E428" t="s">
        <v>1016</v>
      </c>
    </row>
    <row r="429" spans="1:5" x14ac:dyDescent="0.35">
      <c r="A429" t="s">
        <v>1227</v>
      </c>
      <c r="B429" t="s">
        <v>1017</v>
      </c>
      <c r="C429" t="s">
        <v>446</v>
      </c>
      <c r="D429" t="s">
        <v>20</v>
      </c>
      <c r="E429" t="s">
        <v>1018</v>
      </c>
    </row>
    <row r="430" spans="1:5" x14ac:dyDescent="0.35">
      <c r="A430" t="s">
        <v>1227</v>
      </c>
      <c r="B430" t="s">
        <v>1019</v>
      </c>
      <c r="C430" t="s">
        <v>225</v>
      </c>
      <c r="D430" t="s">
        <v>12</v>
      </c>
      <c r="E430" t="s">
        <v>1020</v>
      </c>
    </row>
    <row r="431" spans="1:5" x14ac:dyDescent="0.35">
      <c r="A431" t="s">
        <v>1227</v>
      </c>
      <c r="B431" t="s">
        <v>1021</v>
      </c>
      <c r="C431" t="s">
        <v>1022</v>
      </c>
      <c r="D431" t="s">
        <v>59</v>
      </c>
      <c r="E431" t="s">
        <v>1023</v>
      </c>
    </row>
    <row r="432" spans="1:5" x14ac:dyDescent="0.35">
      <c r="A432" t="s">
        <v>1227</v>
      </c>
      <c r="B432" t="s">
        <v>1024</v>
      </c>
      <c r="C432" t="s">
        <v>550</v>
      </c>
      <c r="D432" t="s">
        <v>30</v>
      </c>
      <c r="E432" t="s">
        <v>1025</v>
      </c>
    </row>
    <row r="433" spans="1:5" x14ac:dyDescent="0.35">
      <c r="A433" t="s">
        <v>1227</v>
      </c>
      <c r="B433" t="s">
        <v>1026</v>
      </c>
      <c r="C433" t="s">
        <v>346</v>
      </c>
      <c r="D433" t="s">
        <v>59</v>
      </c>
      <c r="E433" t="s">
        <v>1027</v>
      </c>
    </row>
    <row r="434" spans="1:5" x14ac:dyDescent="0.35">
      <c r="A434" t="s">
        <v>1227</v>
      </c>
      <c r="B434" t="s">
        <v>1028</v>
      </c>
      <c r="C434" t="s">
        <v>1029</v>
      </c>
      <c r="D434" t="s">
        <v>59</v>
      </c>
      <c r="E434" t="s">
        <v>1030</v>
      </c>
    </row>
    <row r="435" spans="1:5" x14ac:dyDescent="0.35">
      <c r="A435" t="s">
        <v>1227</v>
      </c>
      <c r="B435" t="s">
        <v>1028</v>
      </c>
      <c r="C435" t="s">
        <v>225</v>
      </c>
      <c r="D435" t="s">
        <v>59</v>
      </c>
      <c r="E435" t="s">
        <v>1031</v>
      </c>
    </row>
    <row r="436" spans="1:5" x14ac:dyDescent="0.35">
      <c r="A436" t="s">
        <v>1227</v>
      </c>
      <c r="B436" t="s">
        <v>1032</v>
      </c>
      <c r="C436" t="s">
        <v>520</v>
      </c>
      <c r="D436" t="s">
        <v>20</v>
      </c>
      <c r="E436" t="s">
        <v>1033</v>
      </c>
    </row>
    <row r="437" spans="1:5" x14ac:dyDescent="0.35">
      <c r="A437" t="s">
        <v>1227</v>
      </c>
      <c r="B437" t="s">
        <v>1034</v>
      </c>
      <c r="C437" t="s">
        <v>346</v>
      </c>
      <c r="D437" t="s">
        <v>59</v>
      </c>
      <c r="E437" t="s">
        <v>806</v>
      </c>
    </row>
    <row r="438" spans="1:5" x14ac:dyDescent="0.35">
      <c r="A438" t="s">
        <v>1227</v>
      </c>
      <c r="B438" t="s">
        <v>1035</v>
      </c>
      <c r="C438" t="s">
        <v>346</v>
      </c>
      <c r="D438" t="s">
        <v>59</v>
      </c>
      <c r="E438" t="s">
        <v>1036</v>
      </c>
    </row>
    <row r="439" spans="1:5" x14ac:dyDescent="0.35">
      <c r="A439" t="s">
        <v>1227</v>
      </c>
      <c r="B439" t="s">
        <v>1035</v>
      </c>
      <c r="C439" t="s">
        <v>225</v>
      </c>
      <c r="D439" t="s">
        <v>59</v>
      </c>
      <c r="E439" t="s">
        <v>1037</v>
      </c>
    </row>
    <row r="440" spans="1:5" x14ac:dyDescent="0.35">
      <c r="A440" t="s">
        <v>1228</v>
      </c>
      <c r="B440" t="s">
        <v>1038</v>
      </c>
      <c r="C440" t="s">
        <v>96</v>
      </c>
      <c r="D440" t="s">
        <v>59</v>
      </c>
      <c r="E440" t="s">
        <v>1039</v>
      </c>
    </row>
    <row r="441" spans="1:5" x14ac:dyDescent="0.35">
      <c r="A441" t="s">
        <v>1228</v>
      </c>
      <c r="B441" t="s">
        <v>1040</v>
      </c>
      <c r="C441" t="s">
        <v>96</v>
      </c>
      <c r="D441" t="s">
        <v>59</v>
      </c>
      <c r="E441" t="s">
        <v>1041</v>
      </c>
    </row>
    <row r="442" spans="1:5" x14ac:dyDescent="0.35">
      <c r="A442" t="s">
        <v>1228</v>
      </c>
      <c r="B442" t="s">
        <v>1042</v>
      </c>
      <c r="C442" t="s">
        <v>1043</v>
      </c>
      <c r="D442" t="s">
        <v>20</v>
      </c>
      <c r="E442" t="s">
        <v>1044</v>
      </c>
    </row>
    <row r="443" spans="1:5" x14ac:dyDescent="0.35">
      <c r="A443" t="s">
        <v>1228</v>
      </c>
      <c r="B443" t="s">
        <v>1045</v>
      </c>
      <c r="C443" t="s">
        <v>87</v>
      </c>
      <c r="D443" t="s">
        <v>59</v>
      </c>
      <c r="E443" t="s">
        <v>1046</v>
      </c>
    </row>
    <row r="444" spans="1:5" x14ac:dyDescent="0.35">
      <c r="A444" t="s">
        <v>1228</v>
      </c>
      <c r="B444" t="s">
        <v>1047</v>
      </c>
      <c r="C444" t="s">
        <v>148</v>
      </c>
      <c r="D444" t="s">
        <v>20</v>
      </c>
      <c r="E444" t="s">
        <v>1048</v>
      </c>
    </row>
    <row r="445" spans="1:5" x14ac:dyDescent="0.35">
      <c r="A445" t="s">
        <v>1228</v>
      </c>
      <c r="B445" t="s">
        <v>1049</v>
      </c>
      <c r="C445" t="s">
        <v>87</v>
      </c>
      <c r="D445" t="s">
        <v>20</v>
      </c>
      <c r="E445" t="s">
        <v>1009</v>
      </c>
    </row>
    <row r="446" spans="1:5" x14ac:dyDescent="0.35">
      <c r="A446" t="s">
        <v>1228</v>
      </c>
      <c r="B446" t="s">
        <v>1050</v>
      </c>
      <c r="C446" t="s">
        <v>1051</v>
      </c>
      <c r="D446" t="s">
        <v>59</v>
      </c>
      <c r="E446" t="s">
        <v>1052</v>
      </c>
    </row>
    <row r="447" spans="1:5" x14ac:dyDescent="0.35">
      <c r="A447" t="s">
        <v>1228</v>
      </c>
      <c r="B447" t="s">
        <v>1053</v>
      </c>
      <c r="C447" t="s">
        <v>96</v>
      </c>
      <c r="D447" t="s">
        <v>59</v>
      </c>
      <c r="E447" t="s">
        <v>1039</v>
      </c>
    </row>
    <row r="448" spans="1:5" x14ac:dyDescent="0.35">
      <c r="A448" t="s">
        <v>1228</v>
      </c>
      <c r="B448" t="s">
        <v>1054</v>
      </c>
      <c r="C448" t="s">
        <v>1055</v>
      </c>
      <c r="D448" t="s">
        <v>59</v>
      </c>
      <c r="E448" t="s">
        <v>1056</v>
      </c>
    </row>
    <row r="449" spans="1:5" x14ac:dyDescent="0.35">
      <c r="A449" t="s">
        <v>1228</v>
      </c>
      <c r="B449" t="s">
        <v>1057</v>
      </c>
      <c r="C449" t="s">
        <v>1058</v>
      </c>
      <c r="D449" t="s">
        <v>59</v>
      </c>
      <c r="E449" t="s">
        <v>1059</v>
      </c>
    </row>
    <row r="450" spans="1:5" x14ac:dyDescent="0.35">
      <c r="A450" t="s">
        <v>1228</v>
      </c>
      <c r="B450" t="s">
        <v>1060</v>
      </c>
      <c r="C450" t="s">
        <v>346</v>
      </c>
      <c r="D450" t="s">
        <v>59</v>
      </c>
      <c r="E450" t="s">
        <v>806</v>
      </c>
    </row>
    <row r="451" spans="1:5" x14ac:dyDescent="0.35">
      <c r="A451" t="s">
        <v>1228</v>
      </c>
      <c r="B451" t="s">
        <v>1061</v>
      </c>
      <c r="C451" t="s">
        <v>1062</v>
      </c>
      <c r="D451" t="s">
        <v>59</v>
      </c>
      <c r="E451" t="s">
        <v>1063</v>
      </c>
    </row>
    <row r="452" spans="1:5" x14ac:dyDescent="0.35">
      <c r="A452" t="s">
        <v>1228</v>
      </c>
      <c r="B452" t="s">
        <v>1061</v>
      </c>
      <c r="C452" t="s">
        <v>87</v>
      </c>
      <c r="D452" t="s">
        <v>30</v>
      </c>
      <c r="E452" t="s">
        <v>1064</v>
      </c>
    </row>
    <row r="453" spans="1:5" x14ac:dyDescent="0.35">
      <c r="A453" t="s">
        <v>1228</v>
      </c>
      <c r="B453" t="s">
        <v>1065</v>
      </c>
      <c r="C453" t="s">
        <v>87</v>
      </c>
      <c r="D453" t="s">
        <v>59</v>
      </c>
      <c r="E453" t="s">
        <v>1066</v>
      </c>
    </row>
    <row r="454" spans="1:5" x14ac:dyDescent="0.35">
      <c r="A454" t="s">
        <v>1228</v>
      </c>
      <c r="B454" t="s">
        <v>1067</v>
      </c>
      <c r="C454" t="s">
        <v>87</v>
      </c>
      <c r="D454" t="s">
        <v>59</v>
      </c>
      <c r="E454" t="s">
        <v>1009</v>
      </c>
    </row>
    <row r="455" spans="1:5" x14ac:dyDescent="0.35">
      <c r="A455" t="s">
        <v>1228</v>
      </c>
      <c r="B455" t="s">
        <v>1068</v>
      </c>
      <c r="C455" t="s">
        <v>1069</v>
      </c>
      <c r="D455" t="s">
        <v>30</v>
      </c>
      <c r="E455" t="s">
        <v>1070</v>
      </c>
    </row>
    <row r="456" spans="1:5" x14ac:dyDescent="0.35">
      <c r="A456" t="s">
        <v>1228</v>
      </c>
      <c r="B456" t="s">
        <v>1071</v>
      </c>
      <c r="C456" t="s">
        <v>96</v>
      </c>
      <c r="D456" t="s">
        <v>59</v>
      </c>
      <c r="E456" t="s">
        <v>1039</v>
      </c>
    </row>
    <row r="457" spans="1:5" x14ac:dyDescent="0.35">
      <c r="A457" t="s">
        <v>1228</v>
      </c>
      <c r="B457" t="s">
        <v>1072</v>
      </c>
      <c r="C457" t="s">
        <v>96</v>
      </c>
      <c r="D457" t="s">
        <v>59</v>
      </c>
      <c r="E457" t="s">
        <v>1073</v>
      </c>
    </row>
    <row r="458" spans="1:5" x14ac:dyDescent="0.35">
      <c r="A458" t="s">
        <v>1228</v>
      </c>
      <c r="B458" t="s">
        <v>1074</v>
      </c>
      <c r="C458" t="s">
        <v>87</v>
      </c>
      <c r="D458" t="s">
        <v>59</v>
      </c>
      <c r="E458" t="s">
        <v>1075</v>
      </c>
    </row>
    <row r="459" spans="1:5" x14ac:dyDescent="0.35">
      <c r="A459" t="s">
        <v>1228</v>
      </c>
      <c r="B459" t="s">
        <v>1076</v>
      </c>
      <c r="C459" t="s">
        <v>87</v>
      </c>
      <c r="D459" t="s">
        <v>59</v>
      </c>
      <c r="E459" t="s">
        <v>1077</v>
      </c>
    </row>
    <row r="460" spans="1:5" x14ac:dyDescent="0.35">
      <c r="A460" t="s">
        <v>1228</v>
      </c>
      <c r="B460" t="s">
        <v>1078</v>
      </c>
      <c r="C460" t="s">
        <v>1079</v>
      </c>
      <c r="D460" t="s">
        <v>20</v>
      </c>
      <c r="E460" t="s">
        <v>1080</v>
      </c>
    </row>
    <row r="461" spans="1:5" x14ac:dyDescent="0.35">
      <c r="A461" t="s">
        <v>1228</v>
      </c>
      <c r="B461" t="s">
        <v>1081</v>
      </c>
      <c r="C461" t="s">
        <v>143</v>
      </c>
      <c r="D461" t="s">
        <v>20</v>
      </c>
      <c r="E461" t="s">
        <v>1082</v>
      </c>
    </row>
    <row r="462" spans="1:5" x14ac:dyDescent="0.35">
      <c r="A462" t="s">
        <v>16</v>
      </c>
      <c r="B462" t="s">
        <v>1084</v>
      </c>
      <c r="C462" t="s">
        <v>1085</v>
      </c>
      <c r="D462" t="s">
        <v>59</v>
      </c>
      <c r="E462" t="s">
        <v>1086</v>
      </c>
    </row>
    <row r="463" spans="1:5" x14ac:dyDescent="0.35">
      <c r="A463" t="s">
        <v>16</v>
      </c>
      <c r="B463" t="s">
        <v>1087</v>
      </c>
      <c r="C463" t="s">
        <v>1088</v>
      </c>
      <c r="D463" t="s">
        <v>59</v>
      </c>
      <c r="E463" t="s">
        <v>1089</v>
      </c>
    </row>
    <row r="464" spans="1:5" x14ac:dyDescent="0.35">
      <c r="A464" t="s">
        <v>16</v>
      </c>
      <c r="B464" t="s">
        <v>1090</v>
      </c>
      <c r="C464" t="s">
        <v>1088</v>
      </c>
      <c r="D464" t="s">
        <v>59</v>
      </c>
      <c r="E464" t="s">
        <v>1089</v>
      </c>
    </row>
    <row r="465" spans="1:5" x14ac:dyDescent="0.35">
      <c r="A465" t="s">
        <v>16</v>
      </c>
      <c r="B465" t="s">
        <v>1091</v>
      </c>
      <c r="C465" t="s">
        <v>1092</v>
      </c>
      <c r="D465" t="s">
        <v>59</v>
      </c>
      <c r="E465" t="s">
        <v>1093</v>
      </c>
    </row>
    <row r="466" spans="1:5" x14ac:dyDescent="0.35">
      <c r="A466" t="s">
        <v>16</v>
      </c>
      <c r="B466" t="s">
        <v>1094</v>
      </c>
      <c r="C466" t="s">
        <v>1095</v>
      </c>
      <c r="D466" t="s">
        <v>20</v>
      </c>
      <c r="E466" t="s">
        <v>1096</v>
      </c>
    </row>
    <row r="467" spans="1:5" x14ac:dyDescent="0.35">
      <c r="A467" t="s">
        <v>16</v>
      </c>
      <c r="B467" t="s">
        <v>1097</v>
      </c>
      <c r="C467" t="s">
        <v>1098</v>
      </c>
      <c r="D467" t="s">
        <v>59</v>
      </c>
      <c r="E467" t="s">
        <v>1099</v>
      </c>
    </row>
    <row r="468" spans="1:5" x14ac:dyDescent="0.35">
      <c r="A468" t="s">
        <v>16</v>
      </c>
      <c r="B468" t="s">
        <v>1100</v>
      </c>
      <c r="C468" t="s">
        <v>1101</v>
      </c>
      <c r="D468" t="s">
        <v>59</v>
      </c>
      <c r="E468" t="s">
        <v>1102</v>
      </c>
    </row>
    <row r="469" spans="1:5" x14ac:dyDescent="0.35">
      <c r="A469" t="s">
        <v>16</v>
      </c>
      <c r="B469" t="s">
        <v>1103</v>
      </c>
      <c r="C469" t="s">
        <v>1104</v>
      </c>
      <c r="D469" t="s">
        <v>59</v>
      </c>
      <c r="E469" t="s">
        <v>1105</v>
      </c>
    </row>
    <row r="470" spans="1:5" x14ac:dyDescent="0.35">
      <c r="A470" t="s">
        <v>16</v>
      </c>
      <c r="B470" t="s">
        <v>1106</v>
      </c>
      <c r="C470" t="s">
        <v>1088</v>
      </c>
      <c r="D470" t="s">
        <v>59</v>
      </c>
      <c r="E470" t="s">
        <v>1089</v>
      </c>
    </row>
    <row r="471" spans="1:5" x14ac:dyDescent="0.35">
      <c r="A471" t="s">
        <v>16</v>
      </c>
      <c r="B471" t="s">
        <v>1107</v>
      </c>
      <c r="C471" t="s">
        <v>1108</v>
      </c>
      <c r="D471" t="s">
        <v>30</v>
      </c>
      <c r="E471" t="s">
        <v>1109</v>
      </c>
    </row>
    <row r="472" spans="1:5" x14ac:dyDescent="0.35">
      <c r="A472" t="s">
        <v>16</v>
      </c>
      <c r="B472" t="s">
        <v>1110</v>
      </c>
      <c r="C472" t="s">
        <v>74</v>
      </c>
      <c r="D472" t="s">
        <v>59</v>
      </c>
      <c r="E472" t="s">
        <v>1111</v>
      </c>
    </row>
    <row r="473" spans="1:5" x14ac:dyDescent="0.35">
      <c r="A473" t="s">
        <v>16</v>
      </c>
      <c r="B473" t="s">
        <v>1112</v>
      </c>
      <c r="C473" t="s">
        <v>1104</v>
      </c>
      <c r="D473" t="s">
        <v>59</v>
      </c>
      <c r="E473" t="s">
        <v>1105</v>
      </c>
    </row>
    <row r="474" spans="1:5" x14ac:dyDescent="0.35">
      <c r="A474" t="s">
        <v>16</v>
      </c>
      <c r="B474" t="s">
        <v>1113</v>
      </c>
      <c r="C474" t="s">
        <v>1114</v>
      </c>
      <c r="D474" t="s">
        <v>59</v>
      </c>
      <c r="E474" t="s">
        <v>1115</v>
      </c>
    </row>
    <row r="475" spans="1:5" x14ac:dyDescent="0.35">
      <c r="A475" t="s">
        <v>16</v>
      </c>
      <c r="B475" t="s">
        <v>1116</v>
      </c>
      <c r="C475" t="s">
        <v>1117</v>
      </c>
      <c r="D475" t="s">
        <v>59</v>
      </c>
      <c r="E475" t="s">
        <v>1118</v>
      </c>
    </row>
    <row r="476" spans="1:5" x14ac:dyDescent="0.35">
      <c r="A476" t="s">
        <v>16</v>
      </c>
      <c r="B476" t="s">
        <v>1119</v>
      </c>
      <c r="C476" t="s">
        <v>1095</v>
      </c>
      <c r="D476" t="s">
        <v>20</v>
      </c>
      <c r="E476" t="s">
        <v>1120</v>
      </c>
    </row>
    <row r="477" spans="1:5" x14ac:dyDescent="0.35">
      <c r="A477" t="s">
        <v>16</v>
      </c>
      <c r="B477" t="s">
        <v>1121</v>
      </c>
      <c r="C477" t="s">
        <v>1122</v>
      </c>
      <c r="D477" t="s">
        <v>59</v>
      </c>
      <c r="E477" t="s">
        <v>1123</v>
      </c>
    </row>
    <row r="478" spans="1:5" x14ac:dyDescent="0.35">
      <c r="A478" t="s">
        <v>16</v>
      </c>
      <c r="B478" t="s">
        <v>1124</v>
      </c>
      <c r="C478" t="s">
        <v>1088</v>
      </c>
      <c r="D478" t="s">
        <v>59</v>
      </c>
      <c r="E478" t="s">
        <v>1089</v>
      </c>
    </row>
    <row r="479" spans="1:5" x14ac:dyDescent="0.35">
      <c r="A479" t="s">
        <v>16</v>
      </c>
      <c r="B479" t="s">
        <v>1125</v>
      </c>
      <c r="C479" t="s">
        <v>1126</v>
      </c>
      <c r="D479" t="s">
        <v>59</v>
      </c>
      <c r="E479" t="s">
        <v>1127</v>
      </c>
    </row>
    <row r="480" spans="1:5" x14ac:dyDescent="0.35">
      <c r="A480" t="s">
        <v>16</v>
      </c>
      <c r="B480" t="s">
        <v>1128</v>
      </c>
      <c r="C480" t="s">
        <v>1129</v>
      </c>
      <c r="D480" t="s">
        <v>59</v>
      </c>
      <c r="E480" t="s">
        <v>1130</v>
      </c>
    </row>
    <row r="481" spans="1:5" x14ac:dyDescent="0.35">
      <c r="A481" t="s">
        <v>16</v>
      </c>
      <c r="B481" t="s">
        <v>1131</v>
      </c>
      <c r="C481" t="s">
        <v>65</v>
      </c>
      <c r="D481" t="s">
        <v>59</v>
      </c>
      <c r="E481" t="s">
        <v>1132</v>
      </c>
    </row>
    <row r="482" spans="1:5" x14ac:dyDescent="0.35">
      <c r="A482" t="s">
        <v>16</v>
      </c>
      <c r="B482" t="s">
        <v>1133</v>
      </c>
      <c r="C482" t="s">
        <v>1085</v>
      </c>
      <c r="D482" t="s">
        <v>59</v>
      </c>
      <c r="E482" t="s">
        <v>1086</v>
      </c>
    </row>
    <row r="483" spans="1:5" x14ac:dyDescent="0.35">
      <c r="A483" t="s">
        <v>16</v>
      </c>
      <c r="B483" t="s">
        <v>1134</v>
      </c>
      <c r="C483" t="s">
        <v>1135</v>
      </c>
      <c r="D483" t="s">
        <v>59</v>
      </c>
      <c r="E483" t="s">
        <v>1136</v>
      </c>
    </row>
    <row r="484" spans="1:5" x14ac:dyDescent="0.35">
      <c r="A484" t="s">
        <v>16</v>
      </c>
      <c r="B484" t="s">
        <v>1137</v>
      </c>
      <c r="C484" t="s">
        <v>1138</v>
      </c>
      <c r="D484" t="s">
        <v>59</v>
      </c>
      <c r="E484" t="s">
        <v>1139</v>
      </c>
    </row>
    <row r="485" spans="1:5" x14ac:dyDescent="0.35">
      <c r="A485" t="s">
        <v>16</v>
      </c>
      <c r="B485" t="s">
        <v>1140</v>
      </c>
      <c r="C485" t="s">
        <v>1104</v>
      </c>
      <c r="D485" t="s">
        <v>59</v>
      </c>
      <c r="E485" t="s">
        <v>1105</v>
      </c>
    </row>
    <row r="486" spans="1:5" x14ac:dyDescent="0.35">
      <c r="A486" t="s">
        <v>16</v>
      </c>
      <c r="B486" t="s">
        <v>1141</v>
      </c>
      <c r="C486" t="s">
        <v>1095</v>
      </c>
      <c r="D486" t="s">
        <v>20</v>
      </c>
      <c r="E486" t="s">
        <v>1142</v>
      </c>
    </row>
    <row r="487" spans="1:5" x14ac:dyDescent="0.35">
      <c r="A487" t="s">
        <v>16</v>
      </c>
      <c r="B487" t="s">
        <v>1143</v>
      </c>
      <c r="C487" t="s">
        <v>1104</v>
      </c>
      <c r="D487" t="s">
        <v>59</v>
      </c>
      <c r="E487" t="s">
        <v>1105</v>
      </c>
    </row>
    <row r="488" spans="1:5" x14ac:dyDescent="0.35">
      <c r="A488" t="s">
        <v>16</v>
      </c>
      <c r="B488" t="s">
        <v>1144</v>
      </c>
      <c r="C488" t="s">
        <v>1145</v>
      </c>
      <c r="D488" t="s">
        <v>59</v>
      </c>
      <c r="E488" t="s">
        <v>1146</v>
      </c>
    </row>
    <row r="489" spans="1:5" x14ac:dyDescent="0.35">
      <c r="A489" t="s">
        <v>16</v>
      </c>
      <c r="B489" t="s">
        <v>1147</v>
      </c>
      <c r="C489" t="s">
        <v>1085</v>
      </c>
      <c r="D489" t="s">
        <v>59</v>
      </c>
      <c r="E489" t="s">
        <v>1086</v>
      </c>
    </row>
    <row r="490" spans="1:5" x14ac:dyDescent="0.35">
      <c r="A490" t="s">
        <v>16</v>
      </c>
      <c r="B490" t="s">
        <v>1148</v>
      </c>
      <c r="C490" t="s">
        <v>1088</v>
      </c>
      <c r="D490" t="s">
        <v>59</v>
      </c>
      <c r="E490" t="s">
        <v>1089</v>
      </c>
    </row>
    <row r="491" spans="1:5" x14ac:dyDescent="0.35">
      <c r="A491" t="s">
        <v>16</v>
      </c>
      <c r="B491" t="s">
        <v>1149</v>
      </c>
      <c r="C491" t="s">
        <v>1088</v>
      </c>
      <c r="D491" t="s">
        <v>59</v>
      </c>
      <c r="E491" t="s">
        <v>1089</v>
      </c>
    </row>
    <row r="492" spans="1:5" x14ac:dyDescent="0.35">
      <c r="A492" t="s">
        <v>16</v>
      </c>
      <c r="B492" t="s">
        <v>1150</v>
      </c>
      <c r="C492" t="s">
        <v>1092</v>
      </c>
      <c r="D492" t="s">
        <v>59</v>
      </c>
      <c r="E492" t="s">
        <v>1093</v>
      </c>
    </row>
    <row r="493" spans="1:5" x14ac:dyDescent="0.35">
      <c r="A493" t="s">
        <v>16</v>
      </c>
      <c r="B493" t="s">
        <v>1151</v>
      </c>
      <c r="C493" t="s">
        <v>1095</v>
      </c>
      <c r="D493" t="s">
        <v>20</v>
      </c>
      <c r="E493" t="s">
        <v>1152</v>
      </c>
    </row>
    <row r="494" spans="1:5" x14ac:dyDescent="0.35">
      <c r="A494" t="s">
        <v>16</v>
      </c>
      <c r="B494" t="s">
        <v>1153</v>
      </c>
      <c r="C494" t="s">
        <v>1098</v>
      </c>
      <c r="D494" t="s">
        <v>59</v>
      </c>
      <c r="E494" t="s">
        <v>1099</v>
      </c>
    </row>
    <row r="495" spans="1:5" x14ac:dyDescent="0.35">
      <c r="A495" t="s">
        <v>16</v>
      </c>
      <c r="B495" t="s">
        <v>1154</v>
      </c>
      <c r="C495" t="s">
        <v>1155</v>
      </c>
      <c r="D495" t="s">
        <v>59</v>
      </c>
      <c r="E495" t="s">
        <v>1156</v>
      </c>
    </row>
    <row r="496" spans="1:5" x14ac:dyDescent="0.35">
      <c r="A496" t="s">
        <v>16</v>
      </c>
      <c r="B496" t="s">
        <v>1157</v>
      </c>
      <c r="C496" t="s">
        <v>1158</v>
      </c>
      <c r="D496" t="s">
        <v>59</v>
      </c>
      <c r="E496" t="s">
        <v>1159</v>
      </c>
    </row>
    <row r="497" spans="1:5" x14ac:dyDescent="0.35">
      <c r="A497" t="s">
        <v>16</v>
      </c>
      <c r="B497" t="s">
        <v>1160</v>
      </c>
      <c r="C497" t="s">
        <v>1085</v>
      </c>
      <c r="D497" t="s">
        <v>59</v>
      </c>
      <c r="E497" t="s">
        <v>1086</v>
      </c>
    </row>
    <row r="498" spans="1:5" x14ac:dyDescent="0.35">
      <c r="A498" t="s">
        <v>16</v>
      </c>
      <c r="B498" t="s">
        <v>1161</v>
      </c>
      <c r="C498" t="s">
        <v>1088</v>
      </c>
      <c r="D498" t="s">
        <v>59</v>
      </c>
      <c r="E498" t="s">
        <v>1089</v>
      </c>
    </row>
    <row r="499" spans="1:5" x14ac:dyDescent="0.35">
      <c r="A499" t="s">
        <v>16</v>
      </c>
      <c r="B499" t="s">
        <v>1162</v>
      </c>
      <c r="C499" t="s">
        <v>1088</v>
      </c>
      <c r="D499" t="s">
        <v>59</v>
      </c>
      <c r="E499" t="s">
        <v>1089</v>
      </c>
    </row>
    <row r="500" spans="1:5" x14ac:dyDescent="0.35">
      <c r="A500" t="s">
        <v>16</v>
      </c>
      <c r="B500" t="s">
        <v>1163</v>
      </c>
      <c r="C500" t="s">
        <v>1092</v>
      </c>
      <c r="D500" t="s">
        <v>59</v>
      </c>
      <c r="E500" t="s">
        <v>1093</v>
      </c>
    </row>
    <row r="501" spans="1:5" x14ac:dyDescent="0.35">
      <c r="A501" t="s">
        <v>16</v>
      </c>
      <c r="B501" t="s">
        <v>1164</v>
      </c>
      <c r="C501" t="s">
        <v>1095</v>
      </c>
      <c r="D501" t="s">
        <v>20</v>
      </c>
      <c r="E501" t="s">
        <v>1165</v>
      </c>
    </row>
    <row r="502" spans="1:5" x14ac:dyDescent="0.35">
      <c r="A502" t="s">
        <v>16</v>
      </c>
      <c r="B502" t="s">
        <v>19</v>
      </c>
      <c r="C502" t="s">
        <v>1098</v>
      </c>
      <c r="D502" t="s">
        <v>59</v>
      </c>
      <c r="E502" t="s">
        <v>1099</v>
      </c>
    </row>
    <row r="503" spans="1:5" x14ac:dyDescent="0.35">
      <c r="A503" t="s">
        <v>16</v>
      </c>
      <c r="B503" t="s">
        <v>1166</v>
      </c>
      <c r="C503" t="s">
        <v>1088</v>
      </c>
      <c r="D503" t="s">
        <v>59</v>
      </c>
      <c r="E503" t="s">
        <v>1089</v>
      </c>
    </row>
    <row r="504" spans="1:5" x14ac:dyDescent="0.35">
      <c r="A504" t="s">
        <v>16</v>
      </c>
      <c r="B504" t="s">
        <v>1167</v>
      </c>
      <c r="C504" t="s">
        <v>1104</v>
      </c>
      <c r="D504" t="s">
        <v>59</v>
      </c>
      <c r="E504" t="s">
        <v>1105</v>
      </c>
    </row>
    <row r="505" spans="1:5" x14ac:dyDescent="0.35">
      <c r="A505" t="s">
        <v>16</v>
      </c>
      <c r="B505" t="s">
        <v>1168</v>
      </c>
      <c r="C505" t="s">
        <v>1169</v>
      </c>
      <c r="D505" t="s">
        <v>59</v>
      </c>
      <c r="E505" t="s">
        <v>1170</v>
      </c>
    </row>
    <row r="506" spans="1:5" x14ac:dyDescent="0.35">
      <c r="A506" t="s">
        <v>16</v>
      </c>
      <c r="B506" t="s">
        <v>1171</v>
      </c>
      <c r="C506" t="s">
        <v>1172</v>
      </c>
      <c r="D506" t="s">
        <v>59</v>
      </c>
      <c r="E506" t="s">
        <v>1173</v>
      </c>
    </row>
    <row r="507" spans="1:5" x14ac:dyDescent="0.35">
      <c r="A507" t="s">
        <v>16</v>
      </c>
      <c r="B507" t="s">
        <v>1174</v>
      </c>
      <c r="C507" t="s">
        <v>1175</v>
      </c>
      <c r="D507" t="s">
        <v>59</v>
      </c>
      <c r="E507" t="s">
        <v>1176</v>
      </c>
    </row>
    <row r="508" spans="1:5" x14ac:dyDescent="0.35">
      <c r="A508" t="s">
        <v>16</v>
      </c>
      <c r="B508" t="s">
        <v>1177</v>
      </c>
      <c r="C508" t="s">
        <v>832</v>
      </c>
      <c r="D508" t="s">
        <v>59</v>
      </c>
      <c r="E508" t="s">
        <v>1178</v>
      </c>
    </row>
    <row r="509" spans="1:5" x14ac:dyDescent="0.35">
      <c r="A509" t="s">
        <v>16</v>
      </c>
      <c r="B509" t="s">
        <v>1179</v>
      </c>
      <c r="C509" t="s">
        <v>1180</v>
      </c>
      <c r="D509" t="s">
        <v>59</v>
      </c>
      <c r="E509" t="s">
        <v>1181</v>
      </c>
    </row>
    <row r="510" spans="1:5" x14ac:dyDescent="0.35">
      <c r="A510" t="s">
        <v>16</v>
      </c>
      <c r="B510" t="s">
        <v>1182</v>
      </c>
      <c r="C510" t="s">
        <v>1088</v>
      </c>
      <c r="D510" t="s">
        <v>59</v>
      </c>
      <c r="E510" t="s">
        <v>1089</v>
      </c>
    </row>
    <row r="511" spans="1:5" x14ac:dyDescent="0.35">
      <c r="A511" t="s">
        <v>16</v>
      </c>
      <c r="B511" t="s">
        <v>1183</v>
      </c>
      <c r="C511" t="s">
        <v>816</v>
      </c>
      <c r="D511" t="s">
        <v>59</v>
      </c>
      <c r="E511" t="s">
        <v>1184</v>
      </c>
    </row>
    <row r="512" spans="1:5" x14ac:dyDescent="0.35">
      <c r="A512" t="s">
        <v>16</v>
      </c>
      <c r="B512" t="s">
        <v>1185</v>
      </c>
      <c r="C512" t="s">
        <v>1092</v>
      </c>
      <c r="D512" t="s">
        <v>59</v>
      </c>
      <c r="E512" t="s">
        <v>1093</v>
      </c>
    </row>
    <row r="513" spans="1:5" x14ac:dyDescent="0.35">
      <c r="A513" t="s">
        <v>16</v>
      </c>
      <c r="B513" t="s">
        <v>1186</v>
      </c>
      <c r="C513" t="s">
        <v>1092</v>
      </c>
      <c r="D513" t="s">
        <v>59</v>
      </c>
      <c r="E513" t="s">
        <v>1093</v>
      </c>
    </row>
    <row r="514" spans="1:5" x14ac:dyDescent="0.35">
      <c r="A514" t="s">
        <v>16</v>
      </c>
      <c r="B514" t="s">
        <v>1187</v>
      </c>
      <c r="C514" t="s">
        <v>1188</v>
      </c>
      <c r="D514" t="s">
        <v>59</v>
      </c>
      <c r="E514" t="s">
        <v>1189</v>
      </c>
    </row>
    <row r="515" spans="1:5" x14ac:dyDescent="0.35">
      <c r="A515" t="s">
        <v>16</v>
      </c>
      <c r="B515" t="s">
        <v>1190</v>
      </c>
      <c r="C515" t="s">
        <v>74</v>
      </c>
      <c r="D515" t="s">
        <v>59</v>
      </c>
      <c r="E515" t="s">
        <v>1111</v>
      </c>
    </row>
    <row r="516" spans="1:5" x14ac:dyDescent="0.35">
      <c r="A516" t="s">
        <v>16</v>
      </c>
      <c r="B516" t="s">
        <v>1191</v>
      </c>
      <c r="C516" t="s">
        <v>1095</v>
      </c>
      <c r="D516" t="s">
        <v>20</v>
      </c>
      <c r="E516" t="s">
        <v>1192</v>
      </c>
    </row>
    <row r="517" spans="1:5" x14ac:dyDescent="0.35">
      <c r="A517" t="s">
        <v>16</v>
      </c>
      <c r="B517" t="s">
        <v>1193</v>
      </c>
      <c r="C517" t="s">
        <v>1194</v>
      </c>
      <c r="D517" t="s">
        <v>59</v>
      </c>
      <c r="E517" t="s">
        <v>1195</v>
      </c>
    </row>
    <row r="518" spans="1:5" x14ac:dyDescent="0.35">
      <c r="A518" t="s">
        <v>16</v>
      </c>
      <c r="B518" t="s">
        <v>1196</v>
      </c>
      <c r="C518" t="s">
        <v>1197</v>
      </c>
      <c r="D518" t="s">
        <v>59</v>
      </c>
      <c r="E518" t="s">
        <v>1198</v>
      </c>
    </row>
    <row r="519" spans="1:5" x14ac:dyDescent="0.35">
      <c r="A519" t="s">
        <v>16</v>
      </c>
      <c r="B519" t="s">
        <v>1199</v>
      </c>
      <c r="C519" t="s">
        <v>1200</v>
      </c>
      <c r="D519" t="s">
        <v>12</v>
      </c>
      <c r="E519" t="s">
        <v>1201</v>
      </c>
    </row>
    <row r="520" spans="1:5" x14ac:dyDescent="0.35">
      <c r="A520" t="s">
        <v>16</v>
      </c>
      <c r="B520" t="s">
        <v>1202</v>
      </c>
      <c r="C520" t="s">
        <v>1095</v>
      </c>
      <c r="D520" t="s">
        <v>20</v>
      </c>
      <c r="E520" t="s">
        <v>1203</v>
      </c>
    </row>
    <row r="521" spans="1:5" x14ac:dyDescent="0.35">
      <c r="A521" t="s">
        <v>16</v>
      </c>
      <c r="B521" t="s">
        <v>1204</v>
      </c>
      <c r="C521" t="s">
        <v>1122</v>
      </c>
      <c r="D521" t="s">
        <v>59</v>
      </c>
      <c r="E521" t="s">
        <v>1123</v>
      </c>
    </row>
    <row r="522" spans="1:5" x14ac:dyDescent="0.35">
      <c r="A522" t="s">
        <v>16</v>
      </c>
      <c r="B522" t="s">
        <v>1205</v>
      </c>
      <c r="C522" t="s">
        <v>1206</v>
      </c>
      <c r="D522" t="s">
        <v>59</v>
      </c>
      <c r="E522" t="s">
        <v>1207</v>
      </c>
    </row>
    <row r="523" spans="1:5" x14ac:dyDescent="0.35">
      <c r="A523" t="s">
        <v>16</v>
      </c>
      <c r="B523" t="s">
        <v>1208</v>
      </c>
      <c r="C523" t="s">
        <v>1209</v>
      </c>
      <c r="D523" t="s">
        <v>59</v>
      </c>
      <c r="E523" t="s">
        <v>1210</v>
      </c>
    </row>
    <row r="524" spans="1:5" x14ac:dyDescent="0.35">
      <c r="A524" t="s">
        <v>16</v>
      </c>
      <c r="B524" t="s">
        <v>1211</v>
      </c>
      <c r="C524" t="s">
        <v>1155</v>
      </c>
      <c r="D524" t="s">
        <v>59</v>
      </c>
      <c r="E524" t="s">
        <v>1156</v>
      </c>
    </row>
    <row r="525" spans="1:5" x14ac:dyDescent="0.35">
      <c r="A525" t="s">
        <v>16</v>
      </c>
      <c r="B525" t="s">
        <v>1212</v>
      </c>
      <c r="C525" t="s">
        <v>1213</v>
      </c>
      <c r="D525" t="s">
        <v>59</v>
      </c>
      <c r="E525" t="s">
        <v>1214</v>
      </c>
    </row>
    <row r="526" spans="1:5" x14ac:dyDescent="0.35">
      <c r="A526" t="s">
        <v>16</v>
      </c>
      <c r="B526" t="s">
        <v>1215</v>
      </c>
      <c r="C526" t="s">
        <v>1216</v>
      </c>
      <c r="D526" t="s">
        <v>59</v>
      </c>
      <c r="E526" t="s">
        <v>1217</v>
      </c>
    </row>
    <row r="527" spans="1:5" x14ac:dyDescent="0.35">
      <c r="A527" t="s">
        <v>16</v>
      </c>
      <c r="B527" t="s">
        <v>1218</v>
      </c>
      <c r="C527" t="s">
        <v>1219</v>
      </c>
      <c r="D527" t="s">
        <v>59</v>
      </c>
      <c r="E527" t="s">
        <v>1220</v>
      </c>
    </row>
    <row r="528" spans="1:5" x14ac:dyDescent="0.35">
      <c r="A528" t="s">
        <v>16</v>
      </c>
      <c r="B528" t="s">
        <v>1221</v>
      </c>
      <c r="C528" t="s">
        <v>1098</v>
      </c>
      <c r="D528" t="s">
        <v>59</v>
      </c>
      <c r="E528" t="s">
        <v>1099</v>
      </c>
    </row>
    <row r="529" spans="1:5" x14ac:dyDescent="0.35">
      <c r="A529" t="s">
        <v>16</v>
      </c>
      <c r="B529" t="s">
        <v>1222</v>
      </c>
      <c r="C529" t="s">
        <v>1219</v>
      </c>
      <c r="D529" t="s">
        <v>59</v>
      </c>
      <c r="E529" t="s">
        <v>1220</v>
      </c>
    </row>
    <row r="530" spans="1:5" x14ac:dyDescent="0.35">
      <c r="A530" t="s">
        <v>16</v>
      </c>
      <c r="B530" t="s">
        <v>1223</v>
      </c>
      <c r="C530" t="s">
        <v>1155</v>
      </c>
      <c r="D530" t="s">
        <v>59</v>
      </c>
      <c r="E530" t="s">
        <v>1156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B126-0109-4623-9075-55EE61BE8294}">
  <dimension ref="A1:B67"/>
  <sheetViews>
    <sheetView workbookViewId="0">
      <selection activeCell="A9" sqref="A9"/>
    </sheetView>
  </sheetViews>
  <sheetFormatPr defaultColWidth="21" defaultRowHeight="14.5" x14ac:dyDescent="0.35"/>
  <cols>
    <col min="1" max="1" width="30.6328125" bestFit="1" customWidth="1"/>
    <col min="2" max="2" width="57.90625" bestFit="1" customWidth="1"/>
  </cols>
  <sheetData>
    <row r="1" spans="1:2" x14ac:dyDescent="0.35">
      <c r="A1" s="22" t="s">
        <v>3219</v>
      </c>
      <c r="B1" s="22" t="s">
        <v>3217</v>
      </c>
    </row>
    <row r="2" spans="1:2" x14ac:dyDescent="0.35">
      <c r="A2" s="8" t="s">
        <v>3160</v>
      </c>
      <c r="B2" s="8" t="s">
        <v>3099</v>
      </c>
    </row>
    <row r="3" spans="1:2" x14ac:dyDescent="0.35">
      <c r="A3" s="8" t="s">
        <v>71</v>
      </c>
      <c r="B3" s="8" t="s">
        <v>3119</v>
      </c>
    </row>
    <row r="4" spans="1:2" x14ac:dyDescent="0.35">
      <c r="A4" s="8" t="s">
        <v>3161</v>
      </c>
      <c r="B4" s="8" t="s">
        <v>3100</v>
      </c>
    </row>
    <row r="5" spans="1:2" x14ac:dyDescent="0.35">
      <c r="A5" s="8" t="s">
        <v>3162</v>
      </c>
      <c r="B5" s="8" t="s">
        <v>3101</v>
      </c>
    </row>
    <row r="6" spans="1:2" x14ac:dyDescent="0.35">
      <c r="A6" s="8" t="s">
        <v>3163</v>
      </c>
      <c r="B6" s="8" t="s">
        <v>3102</v>
      </c>
    </row>
    <row r="7" spans="1:2" x14ac:dyDescent="0.35">
      <c r="A7" s="8" t="s">
        <v>3164</v>
      </c>
      <c r="B7" s="8" t="s">
        <v>3120</v>
      </c>
    </row>
    <row r="8" spans="1:2" x14ac:dyDescent="0.35">
      <c r="A8" s="8" t="s">
        <v>3165</v>
      </c>
      <c r="B8" s="8" t="s">
        <v>3121</v>
      </c>
    </row>
    <row r="9" spans="1:2" x14ac:dyDescent="0.35">
      <c r="A9" s="8" t="s">
        <v>3166</v>
      </c>
      <c r="B9" s="8" t="s">
        <v>3122</v>
      </c>
    </row>
    <row r="10" spans="1:2" x14ac:dyDescent="0.35">
      <c r="A10" s="8" t="s">
        <v>3167</v>
      </c>
      <c r="B10" s="8" t="s">
        <v>3103</v>
      </c>
    </row>
    <row r="11" spans="1:2" x14ac:dyDescent="0.35">
      <c r="A11" s="8" t="s">
        <v>3168</v>
      </c>
      <c r="B11" s="8" t="s">
        <v>3104</v>
      </c>
    </row>
    <row r="12" spans="1:2" x14ac:dyDescent="0.35">
      <c r="A12" s="8" t="s">
        <v>3169</v>
      </c>
      <c r="B12" s="8" t="s">
        <v>3123</v>
      </c>
    </row>
    <row r="13" spans="1:2" x14ac:dyDescent="0.35">
      <c r="A13" s="8" t="s">
        <v>3170</v>
      </c>
      <c r="B13" s="8" t="s">
        <v>3124</v>
      </c>
    </row>
    <row r="14" spans="1:2" x14ac:dyDescent="0.35">
      <c r="A14" s="8" t="s">
        <v>3171</v>
      </c>
      <c r="B14" s="8" t="s">
        <v>3125</v>
      </c>
    </row>
    <row r="15" spans="1:2" x14ac:dyDescent="0.35">
      <c r="A15" s="8" t="s">
        <v>3172</v>
      </c>
      <c r="B15" s="8" t="s">
        <v>3126</v>
      </c>
    </row>
    <row r="16" spans="1:2" x14ac:dyDescent="0.35">
      <c r="A16" s="8" t="s">
        <v>3173</v>
      </c>
      <c r="B16" s="8" t="s">
        <v>3105</v>
      </c>
    </row>
    <row r="17" spans="1:2" x14ac:dyDescent="0.35">
      <c r="A17" s="8" t="s">
        <v>3174</v>
      </c>
      <c r="B17" s="8" t="s">
        <v>3106</v>
      </c>
    </row>
    <row r="18" spans="1:2" x14ac:dyDescent="0.35">
      <c r="A18" s="8" t="s">
        <v>3175</v>
      </c>
      <c r="B18" s="8" t="s">
        <v>3127</v>
      </c>
    </row>
    <row r="19" spans="1:2" x14ac:dyDescent="0.35">
      <c r="A19" s="8" t="s">
        <v>3176</v>
      </c>
      <c r="B19" s="8" t="s">
        <v>3107</v>
      </c>
    </row>
    <row r="20" spans="1:2" x14ac:dyDescent="0.35">
      <c r="A20" s="8" t="s">
        <v>3177</v>
      </c>
      <c r="B20" s="8" t="s">
        <v>3108</v>
      </c>
    </row>
    <row r="21" spans="1:2" x14ac:dyDescent="0.35">
      <c r="A21" s="8" t="s">
        <v>3178</v>
      </c>
      <c r="B21" s="8" t="s">
        <v>3109</v>
      </c>
    </row>
    <row r="22" spans="1:2" x14ac:dyDescent="0.35">
      <c r="A22" s="8" t="s">
        <v>3179</v>
      </c>
      <c r="B22" s="8" t="s">
        <v>3110</v>
      </c>
    </row>
    <row r="23" spans="1:2" x14ac:dyDescent="0.35">
      <c r="A23" s="8" t="s">
        <v>3180</v>
      </c>
      <c r="B23" s="8" t="s">
        <v>3128</v>
      </c>
    </row>
    <row r="24" spans="1:2" x14ac:dyDescent="0.35">
      <c r="A24" s="8" t="s">
        <v>3181</v>
      </c>
      <c r="B24" s="8" t="s">
        <v>3129</v>
      </c>
    </row>
    <row r="25" spans="1:2" x14ac:dyDescent="0.35">
      <c r="A25" s="8" t="s">
        <v>3182</v>
      </c>
      <c r="B25" s="8" t="s">
        <v>3130</v>
      </c>
    </row>
    <row r="26" spans="1:2" x14ac:dyDescent="0.35">
      <c r="A26" s="8" t="s">
        <v>3183</v>
      </c>
      <c r="B26" s="8" t="s">
        <v>3131</v>
      </c>
    </row>
    <row r="27" spans="1:2" x14ac:dyDescent="0.35">
      <c r="A27" s="8" t="s">
        <v>3184</v>
      </c>
      <c r="B27" s="8" t="s">
        <v>3132</v>
      </c>
    </row>
    <row r="28" spans="1:2" x14ac:dyDescent="0.35">
      <c r="A28" s="8" t="s">
        <v>3185</v>
      </c>
      <c r="B28" s="8" t="s">
        <v>3133</v>
      </c>
    </row>
    <row r="29" spans="1:2" x14ac:dyDescent="0.35">
      <c r="A29" s="8" t="s">
        <v>3186</v>
      </c>
      <c r="B29" s="8" t="s">
        <v>3134</v>
      </c>
    </row>
    <row r="30" spans="1:2" x14ac:dyDescent="0.35">
      <c r="A30" s="8" t="s">
        <v>3187</v>
      </c>
      <c r="B30" s="8" t="s">
        <v>3135</v>
      </c>
    </row>
    <row r="31" spans="1:2" x14ac:dyDescent="0.35">
      <c r="A31" s="8" t="s">
        <v>3188</v>
      </c>
      <c r="B31" s="8" t="s">
        <v>3136</v>
      </c>
    </row>
    <row r="32" spans="1:2" x14ac:dyDescent="0.35">
      <c r="A32" s="8" t="s">
        <v>3189</v>
      </c>
      <c r="B32" s="8" t="s">
        <v>3111</v>
      </c>
    </row>
    <row r="33" spans="1:2" x14ac:dyDescent="0.35">
      <c r="A33" s="8" t="s">
        <v>3190</v>
      </c>
      <c r="B33" s="8" t="s">
        <v>3112</v>
      </c>
    </row>
    <row r="34" spans="1:2" x14ac:dyDescent="0.35">
      <c r="A34" s="8" t="s">
        <v>3191</v>
      </c>
      <c r="B34" s="8" t="s">
        <v>3113</v>
      </c>
    </row>
    <row r="35" spans="1:2" x14ac:dyDescent="0.35">
      <c r="A35" s="8" t="s">
        <v>3221</v>
      </c>
      <c r="B35" s="23"/>
    </row>
    <row r="36" spans="1:2" x14ac:dyDescent="0.35">
      <c r="A36" s="8" t="s">
        <v>3223</v>
      </c>
      <c r="B36" s="23"/>
    </row>
    <row r="37" spans="1:2" x14ac:dyDescent="0.35">
      <c r="A37" s="8" t="s">
        <v>3192</v>
      </c>
      <c r="B37" s="8" t="s">
        <v>3137</v>
      </c>
    </row>
    <row r="38" spans="1:2" x14ac:dyDescent="0.35">
      <c r="A38" s="8" t="s">
        <v>3193</v>
      </c>
      <c r="B38" s="8" t="s">
        <v>3138</v>
      </c>
    </row>
    <row r="39" spans="1:2" x14ac:dyDescent="0.35">
      <c r="A39" s="8" t="s">
        <v>3241</v>
      </c>
      <c r="B39" s="23" t="s">
        <v>3218</v>
      </c>
    </row>
    <row r="40" spans="1:2" x14ac:dyDescent="0.35">
      <c r="A40" s="8" t="s">
        <v>3194</v>
      </c>
      <c r="B40" s="8" t="s">
        <v>3114</v>
      </c>
    </row>
    <row r="41" spans="1:2" x14ac:dyDescent="0.35">
      <c r="A41" s="8" t="s">
        <v>3195</v>
      </c>
      <c r="B41" s="8" t="s">
        <v>3115</v>
      </c>
    </row>
    <row r="42" spans="1:2" x14ac:dyDescent="0.35">
      <c r="A42" s="8" t="s">
        <v>2644</v>
      </c>
      <c r="B42" s="8" t="s">
        <v>3139</v>
      </c>
    </row>
    <row r="43" spans="1:2" x14ac:dyDescent="0.35">
      <c r="A43" s="8" t="s">
        <v>3196</v>
      </c>
      <c r="B43" s="8" t="s">
        <v>3140</v>
      </c>
    </row>
    <row r="44" spans="1:2" x14ac:dyDescent="0.35">
      <c r="A44" s="8" t="s">
        <v>3197</v>
      </c>
      <c r="B44" t="s">
        <v>3224</v>
      </c>
    </row>
    <row r="45" spans="1:2" x14ac:dyDescent="0.35">
      <c r="A45" s="8" t="s">
        <v>3198</v>
      </c>
      <c r="B45" s="8" t="s">
        <v>3141</v>
      </c>
    </row>
    <row r="46" spans="1:2" x14ac:dyDescent="0.35">
      <c r="A46" s="8" t="s">
        <v>3199</v>
      </c>
      <c r="B46" s="8" t="s">
        <v>3142</v>
      </c>
    </row>
    <row r="47" spans="1:2" x14ac:dyDescent="0.35">
      <c r="A47" s="8" t="s">
        <v>3200</v>
      </c>
      <c r="B47" s="8" t="s">
        <v>3143</v>
      </c>
    </row>
    <row r="48" spans="1:2" x14ac:dyDescent="0.35">
      <c r="A48" s="8" t="s">
        <v>3201</v>
      </c>
      <c r="B48" s="8" t="s">
        <v>3144</v>
      </c>
    </row>
    <row r="49" spans="1:2" x14ac:dyDescent="0.35">
      <c r="A49" s="8" t="s">
        <v>3202</v>
      </c>
      <c r="B49" s="8" t="s">
        <v>3145</v>
      </c>
    </row>
    <row r="50" spans="1:2" x14ac:dyDescent="0.35">
      <c r="A50" s="8" t="s">
        <v>3203</v>
      </c>
      <c r="B50" s="8" t="s">
        <v>3116</v>
      </c>
    </row>
    <row r="51" spans="1:2" x14ac:dyDescent="0.35">
      <c r="A51" s="8" t="s">
        <v>3204</v>
      </c>
      <c r="B51" s="8" t="s">
        <v>3117</v>
      </c>
    </row>
    <row r="52" spans="1:2" x14ac:dyDescent="0.35">
      <c r="A52" s="8" t="s">
        <v>3205</v>
      </c>
      <c r="B52" s="8" t="s">
        <v>3146</v>
      </c>
    </row>
    <row r="53" spans="1:2" x14ac:dyDescent="0.35">
      <c r="A53" s="8" t="s">
        <v>3206</v>
      </c>
      <c r="B53" s="8" t="s">
        <v>3147</v>
      </c>
    </row>
    <row r="54" spans="1:2" x14ac:dyDescent="0.35">
      <c r="A54" s="8" t="s">
        <v>3207</v>
      </c>
      <c r="B54" s="8" t="s">
        <v>3148</v>
      </c>
    </row>
    <row r="55" spans="1:2" x14ac:dyDescent="0.35">
      <c r="A55" s="8" t="s">
        <v>3208</v>
      </c>
      <c r="B55" s="8" t="s">
        <v>3149</v>
      </c>
    </row>
    <row r="56" spans="1:2" x14ac:dyDescent="0.35">
      <c r="A56" s="8" t="s">
        <v>3209</v>
      </c>
      <c r="B56" s="8" t="s">
        <v>3118</v>
      </c>
    </row>
    <row r="57" spans="1:2" x14ac:dyDescent="0.35">
      <c r="A57" s="8" t="s">
        <v>3210</v>
      </c>
      <c r="B57" s="8" t="s">
        <v>3150</v>
      </c>
    </row>
    <row r="58" spans="1:2" x14ac:dyDescent="0.35">
      <c r="A58" s="8" t="s">
        <v>3211</v>
      </c>
      <c r="B58" s="8" t="s">
        <v>3151</v>
      </c>
    </row>
    <row r="59" spans="1:2" x14ac:dyDescent="0.35">
      <c r="A59" s="8" t="s">
        <v>3212</v>
      </c>
      <c r="B59" s="8" t="s">
        <v>3152</v>
      </c>
    </row>
    <row r="60" spans="1:2" x14ac:dyDescent="0.35">
      <c r="A60" s="8" t="s">
        <v>3213</v>
      </c>
      <c r="B60" s="8" t="s">
        <v>3153</v>
      </c>
    </row>
    <row r="61" spans="1:2" x14ac:dyDescent="0.35">
      <c r="A61" s="8" t="s">
        <v>3214</v>
      </c>
      <c r="B61" s="8" t="s">
        <v>3154</v>
      </c>
    </row>
    <row r="62" spans="1:2" x14ac:dyDescent="0.35">
      <c r="A62" s="8" t="s">
        <v>3215</v>
      </c>
      <c r="B62" s="8" t="s">
        <v>3155</v>
      </c>
    </row>
    <row r="63" spans="1:2" x14ac:dyDescent="0.35">
      <c r="A63" s="8" t="s">
        <v>3216</v>
      </c>
      <c r="B63" s="8" t="s">
        <v>3156</v>
      </c>
    </row>
    <row r="64" spans="1:2" x14ac:dyDescent="0.35">
      <c r="A64" s="8" t="s">
        <v>3226</v>
      </c>
      <c r="B64" t="s">
        <v>3220</v>
      </c>
    </row>
    <row r="65" spans="1:2" x14ac:dyDescent="0.35">
      <c r="A65" s="8" t="s">
        <v>3225</v>
      </c>
      <c r="B65" t="s">
        <v>3157</v>
      </c>
    </row>
    <row r="66" spans="1:2" x14ac:dyDescent="0.35">
      <c r="A66" s="8" t="s">
        <v>3227</v>
      </c>
      <c r="B66" t="s">
        <v>3158</v>
      </c>
    </row>
    <row r="67" spans="1:2" x14ac:dyDescent="0.35">
      <c r="A67" s="8" t="s">
        <v>3228</v>
      </c>
      <c r="B67" t="s">
        <v>3159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3895-3184-47ED-9CD0-40CC7512F6C6}">
  <dimension ref="A1:A59"/>
  <sheetViews>
    <sheetView zoomScale="130" zoomScaleNormal="130" workbookViewId="0">
      <selection activeCell="H42" sqref="H42"/>
    </sheetView>
  </sheetViews>
  <sheetFormatPr defaultRowHeight="14.5" x14ac:dyDescent="0.35"/>
  <sheetData>
    <row r="1" spans="1:1" ht="17.5" x14ac:dyDescent="0.35">
      <c r="A1" s="5" t="s">
        <v>1360</v>
      </c>
    </row>
    <row r="2" spans="1:1" x14ac:dyDescent="0.35">
      <c r="A2" s="6"/>
    </row>
    <row r="3" spans="1:1" x14ac:dyDescent="0.35">
      <c r="A3" s="7" t="s">
        <v>1361</v>
      </c>
    </row>
    <row r="4" spans="1:1" x14ac:dyDescent="0.35">
      <c r="A4" s="6"/>
    </row>
    <row r="5" spans="1:1" x14ac:dyDescent="0.35">
      <c r="A5" s="7" t="s">
        <v>1362</v>
      </c>
    </row>
    <row r="6" spans="1:1" x14ac:dyDescent="0.35">
      <c r="A6" s="6"/>
    </row>
    <row r="7" spans="1:1" x14ac:dyDescent="0.35">
      <c r="A7" s="7" t="s">
        <v>1363</v>
      </c>
    </row>
    <row r="8" spans="1:1" x14ac:dyDescent="0.35">
      <c r="A8" s="6"/>
    </row>
    <row r="9" spans="1:1" x14ac:dyDescent="0.35">
      <c r="A9" s="7" t="s">
        <v>1364</v>
      </c>
    </row>
    <row r="10" spans="1:1" x14ac:dyDescent="0.35">
      <c r="A10" s="6"/>
    </row>
    <row r="11" spans="1:1" x14ac:dyDescent="0.35">
      <c r="A11" s="7" t="s">
        <v>1365</v>
      </c>
    </row>
    <row r="12" spans="1:1" x14ac:dyDescent="0.35">
      <c r="A12" s="6"/>
    </row>
    <row r="13" spans="1:1" x14ac:dyDescent="0.35">
      <c r="A13" s="7" t="s">
        <v>1366</v>
      </c>
    </row>
    <row r="14" spans="1:1" x14ac:dyDescent="0.35">
      <c r="A14" s="6"/>
    </row>
    <row r="15" spans="1:1" x14ac:dyDescent="0.35">
      <c r="A15" s="7" t="s">
        <v>1367</v>
      </c>
    </row>
    <row r="17" spans="1:1" ht="17.5" x14ac:dyDescent="0.35">
      <c r="A17" s="5" t="s">
        <v>1368</v>
      </c>
    </row>
    <row r="18" spans="1:1" x14ac:dyDescent="0.35">
      <c r="A18" s="6"/>
    </row>
    <row r="19" spans="1:1" x14ac:dyDescent="0.35">
      <c r="A19" s="7" t="s">
        <v>1369</v>
      </c>
    </row>
    <row r="20" spans="1:1" x14ac:dyDescent="0.35">
      <c r="A20" s="6"/>
    </row>
    <row r="21" spans="1:1" x14ac:dyDescent="0.35">
      <c r="A21" s="7" t="s">
        <v>1370</v>
      </c>
    </row>
    <row r="22" spans="1:1" x14ac:dyDescent="0.35">
      <c r="A22" s="6"/>
    </row>
    <row r="23" spans="1:1" x14ac:dyDescent="0.35">
      <c r="A23" s="7" t="s">
        <v>1371</v>
      </c>
    </row>
    <row r="24" spans="1:1" x14ac:dyDescent="0.35">
      <c r="A24" s="6"/>
    </row>
    <row r="25" spans="1:1" x14ac:dyDescent="0.35">
      <c r="A25" s="7" t="s">
        <v>1372</v>
      </c>
    </row>
    <row r="26" spans="1:1" x14ac:dyDescent="0.35">
      <c r="A26" s="6"/>
    </row>
    <row r="27" spans="1:1" x14ac:dyDescent="0.35">
      <c r="A27" s="7" t="s">
        <v>1373</v>
      </c>
    </row>
    <row r="28" spans="1:1" x14ac:dyDescent="0.35">
      <c r="A28" s="6"/>
    </row>
    <row r="29" spans="1:1" x14ac:dyDescent="0.35">
      <c r="A29" s="7" t="s">
        <v>1374</v>
      </c>
    </row>
    <row r="31" spans="1:1" ht="17.5" x14ac:dyDescent="0.35">
      <c r="A31" s="5" t="s">
        <v>1375</v>
      </c>
    </row>
    <row r="32" spans="1:1" x14ac:dyDescent="0.35">
      <c r="A32" s="6"/>
    </row>
    <row r="33" spans="1:1" x14ac:dyDescent="0.35">
      <c r="A33" s="7" t="s">
        <v>1376</v>
      </c>
    </row>
    <row r="34" spans="1:1" x14ac:dyDescent="0.35">
      <c r="A34" s="6"/>
    </row>
    <row r="35" spans="1:1" x14ac:dyDescent="0.35">
      <c r="A35" s="7" t="s">
        <v>1377</v>
      </c>
    </row>
    <row r="36" spans="1:1" x14ac:dyDescent="0.35">
      <c r="A36" s="6"/>
    </row>
    <row r="37" spans="1:1" x14ac:dyDescent="0.35">
      <c r="A37" s="7" t="s">
        <v>1378</v>
      </c>
    </row>
    <row r="38" spans="1:1" x14ac:dyDescent="0.35">
      <c r="A38" s="6"/>
    </row>
    <row r="39" spans="1:1" x14ac:dyDescent="0.35">
      <c r="A39" s="7" t="s">
        <v>1379</v>
      </c>
    </row>
    <row r="40" spans="1:1" x14ac:dyDescent="0.35">
      <c r="A40" s="6"/>
    </row>
    <row r="41" spans="1:1" x14ac:dyDescent="0.35">
      <c r="A41" s="7" t="s">
        <v>1380</v>
      </c>
    </row>
    <row r="42" spans="1:1" x14ac:dyDescent="0.35">
      <c r="A42" s="6"/>
    </row>
    <row r="43" spans="1:1" x14ac:dyDescent="0.35">
      <c r="A43" s="7" t="s">
        <v>1381</v>
      </c>
    </row>
    <row r="45" spans="1:1" ht="17.5" x14ac:dyDescent="0.35">
      <c r="A45" s="5" t="s">
        <v>1382</v>
      </c>
    </row>
    <row r="46" spans="1:1" x14ac:dyDescent="0.35">
      <c r="A46" s="6"/>
    </row>
    <row r="47" spans="1:1" x14ac:dyDescent="0.35">
      <c r="A47" s="7" t="s">
        <v>1383</v>
      </c>
    </row>
    <row r="48" spans="1:1" x14ac:dyDescent="0.35">
      <c r="A48" s="6"/>
    </row>
    <row r="49" spans="1:1" x14ac:dyDescent="0.35">
      <c r="A49" s="7" t="s">
        <v>1384</v>
      </c>
    </row>
    <row r="50" spans="1:1" x14ac:dyDescent="0.35">
      <c r="A50" s="6"/>
    </row>
    <row r="51" spans="1:1" x14ac:dyDescent="0.35">
      <c r="A51" s="7" t="s">
        <v>1385</v>
      </c>
    </row>
    <row r="52" spans="1:1" x14ac:dyDescent="0.35">
      <c r="A52" s="6"/>
    </row>
    <row r="53" spans="1:1" x14ac:dyDescent="0.35">
      <c r="A53" s="7" t="s">
        <v>1386</v>
      </c>
    </row>
    <row r="54" spans="1:1" x14ac:dyDescent="0.35">
      <c r="A54" s="6"/>
    </row>
    <row r="55" spans="1:1" x14ac:dyDescent="0.35">
      <c r="A55" s="7" t="s">
        <v>1387</v>
      </c>
    </row>
    <row r="56" spans="1:1" x14ac:dyDescent="0.35">
      <c r="A56" s="6"/>
    </row>
    <row r="57" spans="1:1" x14ac:dyDescent="0.35">
      <c r="A57" s="7" t="s">
        <v>1388</v>
      </c>
    </row>
    <row r="58" spans="1:1" x14ac:dyDescent="0.35">
      <c r="A58" s="6"/>
    </row>
    <row r="59" spans="1:1" x14ac:dyDescent="0.35">
      <c r="A59" s="7" t="s">
        <v>1389</v>
      </c>
    </row>
  </sheetData>
  <hyperlinks>
    <hyperlink ref="A3" r:id="rId1" display="https://daggerheartsrd.com/primary-weapons/" xr:uid="{0C604EB1-DBB1-4C0B-938D-F4DF73DDE553}"/>
    <hyperlink ref="A5" r:id="rId2" display="https://daggerheartsrd.com/primary-weapons/" xr:uid="{279942DB-D161-4392-B07C-59E8D5D8810C}"/>
    <hyperlink ref="A7" r:id="rId3" display="https://daggerheart.org/reference/weapons" xr:uid="{4C1D3A9E-455E-4983-BE68-38FC3F2D8869}"/>
    <hyperlink ref="A9" r:id="rId4" display="https://daggerheart.org/reference/weapons" xr:uid="{E610A855-485D-4D7E-B5EB-8ECC9C3625E9}"/>
    <hyperlink ref="A11" r:id="rId5" display="https://daggerheartsrd.com/primary-weapons/" xr:uid="{0B3FA9EF-FAEF-42F3-B2FF-D26D726A12DA}"/>
    <hyperlink ref="A13" r:id="rId6" display="https://daggerheartsrd.com/primary-weapons/" xr:uid="{48597196-3424-46AD-8A77-632AD86B6992}"/>
    <hyperlink ref="A15" r:id="rId7" display="https://daggerheart.org/reference/weapons" xr:uid="{9B77BA3C-5321-42CA-9468-32DC6DC1973D}"/>
    <hyperlink ref="A19" r:id="rId8" display="https://daggerheartsrd.com/primary-weapons/" xr:uid="{805F229D-4867-4D64-B07D-6D4A7BCBB483}"/>
    <hyperlink ref="A21" r:id="rId9" display="https://daggerheartsrd.com/primary-weapons/" xr:uid="{E282015C-B462-489E-9AE6-13F13B353595}"/>
    <hyperlink ref="A23" r:id="rId10" display="https://daggerheartsrd.com/primary-weapons/" xr:uid="{DF61E9E4-87B4-42F5-B6E9-56ACB4DEE8E5}"/>
    <hyperlink ref="A25" r:id="rId11" display="https://daggerheartsrd.com/primary-weapons/" xr:uid="{3F1FB0AB-F9BD-46FC-A004-097924B10934}"/>
    <hyperlink ref="A27" r:id="rId12" display="https://daggerheartsrd.com/primary-weapons/" xr:uid="{36E8D399-5201-40D4-A395-B0A2A9B79473}"/>
    <hyperlink ref="A29" r:id="rId13" display="https://daggerheartsrd.com/primary-weapons/" xr:uid="{A5794CB2-F61C-48EE-A729-283BE3F96632}"/>
    <hyperlink ref="A33" r:id="rId14" display="https://daggerheartsrd.com/primary-weapons/" xr:uid="{FDEC314B-5ED6-4DDE-B194-6B8E566C0001}"/>
    <hyperlink ref="A35" r:id="rId15" display="https://daggerheartsrd.com/primary-weapons/" xr:uid="{76FB5010-3A76-4FE6-BA4F-5CE034F07298}"/>
    <hyperlink ref="A37" r:id="rId16" display="https://daggerheart.org/reference/weapons" xr:uid="{BDC0CFB4-9D8A-49A9-BD63-5CDC8D8FB88D}"/>
    <hyperlink ref="A39" r:id="rId17" display="https://daggerheart.org/reference/weapons" xr:uid="{3921C867-1B5E-4326-BDDD-5D460C70CEA3}"/>
    <hyperlink ref="A41" r:id="rId18" display="https://daggerheart.org/reference/weapons" xr:uid="{894D4022-B0CE-4070-B567-12C74835835F}"/>
    <hyperlink ref="A43" r:id="rId19" display="https://daggerheart.org/reference/weapons" xr:uid="{7F3EFFA6-6E53-4FFC-80B1-9A0477649D75}"/>
    <hyperlink ref="A47" r:id="rId20" display="https://daggerheart.org/reference/weapons" xr:uid="{74B9C69D-48FC-40F2-9B25-EBB0E64FE455}"/>
    <hyperlink ref="A49" r:id="rId21" display="https://daggerheart.org/reference/weapons" xr:uid="{3F9F266D-51AC-4F79-9C30-61D33E04C437}"/>
    <hyperlink ref="A51" r:id="rId22" display="https://daggerheart.org/reference/weapons" xr:uid="{C527EE0A-659C-4A6E-9914-D531C04BDF8B}"/>
    <hyperlink ref="A53" r:id="rId23" display="https://daggerheart.org/reference/weapons" xr:uid="{6FB4427B-59A0-420F-AEA0-D7758109CB48}"/>
    <hyperlink ref="A55" r:id="rId24" display="https://daggerheart.org/reference/weapons" xr:uid="{D6E155E9-68ED-40BA-808C-1476F2C69C3C}"/>
    <hyperlink ref="A57" r:id="rId25" display="https://daggerheart.org/reference/weapons" xr:uid="{BACD788D-8212-47F5-A786-CAD08145655E}"/>
    <hyperlink ref="A59" r:id="rId26" display="https://daggerheart.org/reference/weapons" xr:uid="{71DA84BE-1544-49AB-95C0-799B35C2E5A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C7A3E-12E3-44FA-897C-7CC00A9A6183}">
  <dimension ref="A1:A62"/>
  <sheetViews>
    <sheetView zoomScale="145" zoomScaleNormal="145" workbookViewId="0">
      <selection activeCell="A2" sqref="A2"/>
    </sheetView>
  </sheetViews>
  <sheetFormatPr defaultRowHeight="14.5" x14ac:dyDescent="0.35"/>
  <sheetData>
    <row r="1" spans="1:1" x14ac:dyDescent="0.35">
      <c r="A1" s="1" t="s">
        <v>1744</v>
      </c>
    </row>
    <row r="2" spans="1:1" x14ac:dyDescent="0.35">
      <c r="A2" s="9" t="s">
        <v>1745</v>
      </c>
    </row>
    <row r="4" spans="1:1" x14ac:dyDescent="0.35">
      <c r="A4" s="1" t="s">
        <v>1746</v>
      </c>
    </row>
    <row r="5" spans="1:1" x14ac:dyDescent="0.35">
      <c r="A5" s="9" t="s">
        <v>1747</v>
      </c>
    </row>
    <row r="7" spans="1:1" x14ac:dyDescent="0.35">
      <c r="A7" s="1" t="s">
        <v>1748</v>
      </c>
    </row>
    <row r="8" spans="1:1" x14ac:dyDescent="0.35">
      <c r="A8" s="9" t="s">
        <v>1749</v>
      </c>
    </row>
    <row r="10" spans="1:1" x14ac:dyDescent="0.35">
      <c r="A10" s="1" t="s">
        <v>1750</v>
      </c>
    </row>
    <row r="11" spans="1:1" x14ac:dyDescent="0.35">
      <c r="A11" s="9" t="s">
        <v>1751</v>
      </c>
    </row>
    <row r="13" spans="1:1" x14ac:dyDescent="0.35">
      <c r="A13" s="1" t="s">
        <v>1752</v>
      </c>
    </row>
    <row r="14" spans="1:1" x14ac:dyDescent="0.35">
      <c r="A14" s="9" t="s">
        <v>1753</v>
      </c>
    </row>
    <row r="16" spans="1:1" x14ac:dyDescent="0.35">
      <c r="A16" s="1" t="s">
        <v>1754</v>
      </c>
    </row>
    <row r="17" spans="1:1" x14ac:dyDescent="0.35">
      <c r="A17" s="9" t="s">
        <v>1755</v>
      </c>
    </row>
    <row r="19" spans="1:1" x14ac:dyDescent="0.35">
      <c r="A19" s="1" t="s">
        <v>1756</v>
      </c>
    </row>
    <row r="20" spans="1:1" x14ac:dyDescent="0.35">
      <c r="A20" s="9" t="s">
        <v>1757</v>
      </c>
    </row>
    <row r="22" spans="1:1" x14ac:dyDescent="0.35">
      <c r="A22" s="1" t="s">
        <v>1758</v>
      </c>
    </row>
    <row r="23" spans="1:1" x14ac:dyDescent="0.35">
      <c r="A23" s="9" t="s">
        <v>1759</v>
      </c>
    </row>
    <row r="25" spans="1:1" x14ac:dyDescent="0.35">
      <c r="A25" s="1" t="s">
        <v>1760</v>
      </c>
    </row>
    <row r="26" spans="1:1" x14ac:dyDescent="0.35">
      <c r="A26" s="9" t="s">
        <v>1761</v>
      </c>
    </row>
    <row r="28" spans="1:1" x14ac:dyDescent="0.35">
      <c r="A28" s="1" t="s">
        <v>1762</v>
      </c>
    </row>
    <row r="29" spans="1:1" x14ac:dyDescent="0.35">
      <c r="A29" s="9" t="s">
        <v>1763</v>
      </c>
    </row>
    <row r="31" spans="1:1" x14ac:dyDescent="0.35">
      <c r="A31" s="1" t="s">
        <v>1764</v>
      </c>
    </row>
    <row r="32" spans="1:1" x14ac:dyDescent="0.35">
      <c r="A32" s="9" t="s">
        <v>1765</v>
      </c>
    </row>
    <row r="34" spans="1:1" x14ac:dyDescent="0.35">
      <c r="A34" s="1" t="s">
        <v>1766</v>
      </c>
    </row>
    <row r="35" spans="1:1" x14ac:dyDescent="0.35">
      <c r="A35" s="9" t="s">
        <v>1767</v>
      </c>
    </row>
    <row r="37" spans="1:1" x14ac:dyDescent="0.35">
      <c r="A37" s="1" t="s">
        <v>1768</v>
      </c>
    </row>
    <row r="38" spans="1:1" x14ac:dyDescent="0.35">
      <c r="A38" s="9" t="s">
        <v>1769</v>
      </c>
    </row>
    <row r="40" spans="1:1" x14ac:dyDescent="0.35">
      <c r="A40" s="1" t="s">
        <v>1770</v>
      </c>
    </row>
    <row r="41" spans="1:1" x14ac:dyDescent="0.35">
      <c r="A41" s="9" t="s">
        <v>1771</v>
      </c>
    </row>
    <row r="43" spans="1:1" x14ac:dyDescent="0.35">
      <c r="A43" s="1" t="s">
        <v>1772</v>
      </c>
    </row>
    <row r="44" spans="1:1" x14ac:dyDescent="0.35">
      <c r="A44" s="9" t="s">
        <v>1773</v>
      </c>
    </row>
    <row r="46" spans="1:1" x14ac:dyDescent="0.35">
      <c r="A46" s="1" t="s">
        <v>1774</v>
      </c>
    </row>
    <row r="47" spans="1:1" x14ac:dyDescent="0.35">
      <c r="A47" s="9" t="s">
        <v>1775</v>
      </c>
    </row>
    <row r="49" spans="1:1" x14ac:dyDescent="0.35">
      <c r="A49" s="1" t="s">
        <v>1776</v>
      </c>
    </row>
    <row r="50" spans="1:1" x14ac:dyDescent="0.35">
      <c r="A50" s="9" t="s">
        <v>1777</v>
      </c>
    </row>
    <row r="52" spans="1:1" x14ac:dyDescent="0.35">
      <c r="A52" s="1" t="s">
        <v>1778</v>
      </c>
    </row>
    <row r="53" spans="1:1" x14ac:dyDescent="0.35">
      <c r="A53" s="9" t="s">
        <v>1779</v>
      </c>
    </row>
    <row r="55" spans="1:1" x14ac:dyDescent="0.35">
      <c r="A55" s="1" t="s">
        <v>1780</v>
      </c>
    </row>
    <row r="56" spans="1:1" x14ac:dyDescent="0.35">
      <c r="A56" s="9" t="s">
        <v>1781</v>
      </c>
    </row>
    <row r="58" spans="1:1" x14ac:dyDescent="0.35">
      <c r="A58" s="1" t="s">
        <v>1782</v>
      </c>
    </row>
    <row r="59" spans="1:1" x14ac:dyDescent="0.35">
      <c r="A59" s="9" t="s">
        <v>1783</v>
      </c>
    </row>
    <row r="61" spans="1:1" x14ac:dyDescent="0.35">
      <c r="A61" s="1" t="s">
        <v>1784</v>
      </c>
    </row>
    <row r="62" spans="1:1" x14ac:dyDescent="0.35">
      <c r="A62" s="9" t="s">
        <v>1785</v>
      </c>
    </row>
  </sheetData>
  <hyperlinks>
    <hyperlink ref="A2" r:id="rId1" display="https://daggerheart.org/reference/armor" xr:uid="{F147647A-EB70-492A-84DB-1C058FA2124E}"/>
    <hyperlink ref="A5" r:id="rId2" display="https://daggerheart.org/reference/armor" xr:uid="{EDBB53B6-9ECB-4A12-9D73-59FECFB9A65C}"/>
    <hyperlink ref="A8" r:id="rId3" display="https://daggerheart.org/reference/armor" xr:uid="{B1606EC2-B133-4E0F-A4E7-22913F92D134}"/>
    <hyperlink ref="A11" r:id="rId4" display="https://daggerheart.org/reference/armor" xr:uid="{C1293C84-89FD-4800-AD90-E363C5F041CD}"/>
    <hyperlink ref="A14" r:id="rId5" display="https://daggerheart.org/reference/armor" xr:uid="{690F5BDD-662D-4740-A446-51E8D403F6AB}"/>
    <hyperlink ref="A17" r:id="rId6" display="https://daggerheart.org/reference/armor" xr:uid="{252648E7-2070-4610-8CC3-81A138F598C5}"/>
    <hyperlink ref="A20" r:id="rId7" display="https://daggerheart.org/reference/armor" xr:uid="{AEDDBA81-99D0-4CDE-A40B-B9F895ABD68B}"/>
    <hyperlink ref="A23" r:id="rId8" display="https://daggerheart.org/reference/armor" xr:uid="{C4836F0A-1EFA-4FF2-BAAA-EEDED497B60D}"/>
    <hyperlink ref="A26" r:id="rId9" display="https://daggerheart.org/reference/armor" xr:uid="{B652903F-106B-4C75-BBE8-F4D9E0B75269}"/>
    <hyperlink ref="A29" r:id="rId10" display="https://daggerheart.org/reference/armor" xr:uid="{F67E27AB-60FA-40FD-A6A0-8344DFE15D0D}"/>
    <hyperlink ref="A32" r:id="rId11" display="https://daggerheart.org/reference/armor" xr:uid="{57DA5FD5-85CB-4FDC-BD33-CB4CB3209FA6}"/>
    <hyperlink ref="A35" r:id="rId12" display="https://daggerheart.org/reference/armor" xr:uid="{57A8979D-7A1C-4086-A530-EDD2F74EEADB}"/>
    <hyperlink ref="A38" r:id="rId13" display="https://daggerheart.org/reference/armor" xr:uid="{B4B10D12-ABB3-4839-B6BB-B671B122E9E2}"/>
    <hyperlink ref="A41" r:id="rId14" display="https://daggerheart.org/reference/armor" xr:uid="{0D4C21E0-AF32-4A4B-AE56-4AE04E704BE5}"/>
    <hyperlink ref="A44" r:id="rId15" display="https://daggerheart.org/reference/armor" xr:uid="{B0BF7542-1496-4CD6-87F8-9FEC7D588CC2}"/>
    <hyperlink ref="A47" r:id="rId16" display="https://daggerheart.org/reference/armor" xr:uid="{6294F24C-E0D9-4768-9709-83DC928D980F}"/>
    <hyperlink ref="A50" r:id="rId17" display="https://daggerheart.org/reference/armor" xr:uid="{CCEF5D0D-36A7-4BA1-968A-C84C9CED9E77}"/>
    <hyperlink ref="A53" r:id="rId18" display="https://daggerheart.org/reference/armor" xr:uid="{637E6663-88D8-4EF5-B8C4-5BC1208B9791}"/>
    <hyperlink ref="A56" r:id="rId19" display="https://daggerheart.org/reference/armor" xr:uid="{F0A17149-C087-4D9F-BD59-274716F524E9}"/>
    <hyperlink ref="A59" r:id="rId20" display="https://daggerheart.org/reference/armor" xr:uid="{3FF81B5B-DEA8-45EB-AF6F-B4D8816D8A09}"/>
    <hyperlink ref="A62" r:id="rId21" display="https://daggerheart.org/reference/armor" xr:uid="{CF8D3DD6-6D7E-4B44-8E66-9A29A89B0853}"/>
  </hyperlinks>
  <pageMargins left="0.7" right="0.7" top="0.75" bottom="0.75" header="0.3" footer="0.3"/>
</worksheet>
</file>

<file path=docMetadata/LabelInfo.xml><?xml version="1.0" encoding="utf-8"?>
<clbl:labelList xmlns:clbl="http://schemas.microsoft.com/office/2020/mipLabelMetadata">
  <clbl:label id="{d93d603e-d82e-4c08-9a69-c3b6219285ab}" enabled="1" method="Privileged" siteId="{66a92d0f-8ca8-403c-84e6-5503c56439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weapons</vt:lpstr>
      <vt:lpstr>Renamed DH armors</vt:lpstr>
      <vt:lpstr>Renamed DH Consumables</vt:lpstr>
      <vt:lpstr>Renamed DH Loot</vt:lpstr>
      <vt:lpstr>Cybernetics</vt:lpstr>
      <vt:lpstr>ICE</vt:lpstr>
      <vt:lpstr>Ammo</vt:lpstr>
      <vt:lpstr>Weapon Mods</vt:lpstr>
      <vt:lpstr>Drone Mods</vt:lpstr>
      <vt:lpstr>Controlled Lists</vt:lpstr>
      <vt:lpstr>Domain cards</vt:lpstr>
      <vt:lpstr>Class and Subclass features</vt:lpstr>
      <vt:lpstr>ICE Features</vt:lpstr>
      <vt:lpstr>Adversaries</vt:lpstr>
      <vt:lpstr>Actions and Effects</vt:lpstr>
      <vt:lpstr>Foundry VTT Effects list</vt:lpstr>
      <vt:lpstr>Weapon Features</vt:lpstr>
      <vt:lpstr>Armor 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Weaver</dc:creator>
  <cp:lastModifiedBy>Weaver, Dan</cp:lastModifiedBy>
  <dcterms:created xsi:type="dcterms:W3CDTF">2025-10-12T13:21:41Z</dcterms:created>
  <dcterms:modified xsi:type="dcterms:W3CDTF">2025-11-18T03:46:00Z</dcterms:modified>
</cp:coreProperties>
</file>